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1_{97F79716-F402-4F42-A62C-08008428D005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Energy Cost Analysis" sheetId="1" r:id="rId1"/>
    <sheet name="TCO Analysis" sheetId="5" r:id="rId2"/>
    <sheet name="Revenue and Profit" sheetId="6" r:id="rId3"/>
    <sheet name="Model Detail" sheetId="2" r:id="rId4"/>
    <sheet name="Source Facts" sheetId="3" r:id="rId5"/>
    <sheet name="Assumption Audit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15" i="6" l="1"/>
  <c r="L115" i="6"/>
  <c r="K115" i="6"/>
  <c r="H115" i="6"/>
  <c r="G115" i="6"/>
  <c r="F115" i="6"/>
  <c r="M105" i="6"/>
  <c r="L105" i="6"/>
  <c r="K105" i="6"/>
  <c r="H105" i="6"/>
  <c r="G105" i="6"/>
  <c r="F105" i="6"/>
  <c r="M85" i="6"/>
  <c r="M84" i="6"/>
  <c r="M86" i="6" s="1"/>
  <c r="M87" i="6" s="1"/>
  <c r="M81" i="6"/>
  <c r="K81" i="6"/>
  <c r="I81" i="6"/>
  <c r="M58" i="6"/>
  <c r="K58" i="6"/>
  <c r="I58" i="6"/>
  <c r="M24" i="6"/>
  <c r="K24" i="6"/>
  <c r="K40" i="6" s="1"/>
  <c r="K46" i="6" s="1"/>
  <c r="I24" i="6"/>
  <c r="I40" i="6" s="1"/>
  <c r="M13" i="6"/>
  <c r="K13" i="6"/>
  <c r="I13" i="6"/>
  <c r="M12" i="6"/>
  <c r="K12" i="6"/>
  <c r="I12" i="6"/>
  <c r="E184" i="5"/>
  <c r="H183" i="5"/>
  <c r="E183" i="5"/>
  <c r="G182" i="5"/>
  <c r="H181" i="5"/>
  <c r="E181" i="5"/>
  <c r="H180" i="5"/>
  <c r="E180" i="5"/>
  <c r="H179" i="5"/>
  <c r="E172" i="5"/>
  <c r="H171" i="5"/>
  <c r="E171" i="5"/>
  <c r="G170" i="5"/>
  <c r="H169" i="5"/>
  <c r="E169" i="5"/>
  <c r="M168" i="5"/>
  <c r="L168" i="5"/>
  <c r="K168" i="5"/>
  <c r="H168" i="5"/>
  <c r="E168" i="5"/>
  <c r="H167" i="5"/>
  <c r="E167" i="5"/>
  <c r="M165" i="5"/>
  <c r="L165" i="5"/>
  <c r="K165" i="5"/>
  <c r="M162" i="5"/>
  <c r="L162" i="5"/>
  <c r="K162" i="5"/>
  <c r="M161" i="5"/>
  <c r="L161" i="5"/>
  <c r="K161" i="5"/>
  <c r="M160" i="5"/>
  <c r="L160" i="5"/>
  <c r="K160" i="5"/>
  <c r="E160" i="5"/>
  <c r="M159" i="5"/>
  <c r="L159" i="5"/>
  <c r="K159" i="5"/>
  <c r="H159" i="5"/>
  <c r="E159" i="5"/>
  <c r="M158" i="5"/>
  <c r="M40" i="5" s="1"/>
  <c r="S127" i="5" s="1"/>
  <c r="L158" i="5"/>
  <c r="K158" i="5"/>
  <c r="G158" i="5"/>
  <c r="M157" i="5"/>
  <c r="L157" i="5"/>
  <c r="K157" i="5"/>
  <c r="H157" i="5"/>
  <c r="E157" i="5"/>
  <c r="M156" i="5"/>
  <c r="L156" i="5"/>
  <c r="K156" i="5"/>
  <c r="H156" i="5"/>
  <c r="E156" i="5"/>
  <c r="M155" i="5"/>
  <c r="L155" i="5"/>
  <c r="K155" i="5"/>
  <c r="H155" i="5"/>
  <c r="E155" i="5"/>
  <c r="K154" i="5"/>
  <c r="S126" i="5"/>
  <c r="K126" i="5"/>
  <c r="S105" i="5"/>
  <c r="S104" i="5"/>
  <c r="K104" i="5"/>
  <c r="S82" i="5"/>
  <c r="K82" i="5"/>
  <c r="M52" i="5"/>
  <c r="M53" i="5" s="1"/>
  <c r="M55" i="5" s="1"/>
  <c r="K52" i="5"/>
  <c r="K53" i="5" s="1"/>
  <c r="K55" i="5" s="1"/>
  <c r="I52" i="5"/>
  <c r="I53" i="5" s="1"/>
  <c r="I55" i="5" s="1"/>
  <c r="M51" i="5"/>
  <c r="K51" i="5"/>
  <c r="I51" i="5"/>
  <c r="M47" i="5"/>
  <c r="M48" i="5" s="1"/>
  <c r="M46" i="5"/>
  <c r="K46" i="5"/>
  <c r="I46" i="5"/>
  <c r="M45" i="5"/>
  <c r="K45" i="5"/>
  <c r="I45" i="5"/>
  <c r="M44" i="5"/>
  <c r="K44" i="5"/>
  <c r="K47" i="5" s="1"/>
  <c r="K48" i="5" s="1"/>
  <c r="I44" i="5"/>
  <c r="I47" i="5" s="1"/>
  <c r="I48" i="5" s="1"/>
  <c r="M43" i="5"/>
  <c r="K43" i="5"/>
  <c r="I43" i="5"/>
  <c r="M42" i="5"/>
  <c r="K42" i="5"/>
  <c r="I42" i="5"/>
  <c r="K40" i="5"/>
  <c r="I40" i="5"/>
  <c r="S83" i="5" s="1"/>
  <c r="M16" i="5"/>
  <c r="E179" i="5" s="1"/>
  <c r="K16" i="5"/>
  <c r="I16" i="5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0" i="4"/>
  <c r="D39" i="4"/>
  <c r="D38" i="4"/>
  <c r="D37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9" i="4"/>
  <c r="D8" i="4"/>
  <c r="D7" i="4"/>
  <c r="D6" i="4"/>
  <c r="D5" i="4"/>
  <c r="D4" i="4"/>
  <c r="E49" i="2"/>
  <c r="E50" i="2" s="1"/>
  <c r="C49" i="2"/>
  <c r="E46" i="2"/>
  <c r="D46" i="2"/>
  <c r="C46" i="2"/>
  <c r="E45" i="2"/>
  <c r="E47" i="2" s="1"/>
  <c r="D45" i="2"/>
  <c r="D47" i="2" s="1"/>
  <c r="C45" i="2"/>
  <c r="C47" i="2" s="1"/>
  <c r="E44" i="2"/>
  <c r="D44" i="2"/>
  <c r="D49" i="2" s="1"/>
  <c r="C44" i="2"/>
  <c r="E43" i="2"/>
  <c r="D43" i="2"/>
  <c r="C43" i="2"/>
  <c r="E42" i="2"/>
  <c r="D42" i="2"/>
  <c r="C42" i="2"/>
  <c r="E41" i="2"/>
  <c r="D41" i="2"/>
  <c r="C41" i="2"/>
  <c r="E40" i="2"/>
  <c r="D40" i="2"/>
  <c r="C40" i="2"/>
  <c r="E36" i="2"/>
  <c r="M52" i="1" s="1"/>
  <c r="D36" i="2"/>
  <c r="C36" i="2"/>
  <c r="E28" i="2"/>
  <c r="E26" i="2"/>
  <c r="D26" i="2"/>
  <c r="C26" i="2"/>
  <c r="E25" i="2"/>
  <c r="E32" i="2" s="1"/>
  <c r="E33" i="2" s="1"/>
  <c r="M51" i="1" s="1"/>
  <c r="D25" i="2"/>
  <c r="D32" i="2" s="1"/>
  <c r="D33" i="2" s="1"/>
  <c r="K51" i="1" s="1"/>
  <c r="C25" i="2"/>
  <c r="C32" i="2" s="1"/>
  <c r="C33" i="2" s="1"/>
  <c r="I51" i="1" s="1"/>
  <c r="E24" i="2"/>
  <c r="D24" i="2"/>
  <c r="C24" i="2"/>
  <c r="E23" i="2"/>
  <c r="D23" i="2"/>
  <c r="D28" i="2" s="1"/>
  <c r="C23" i="2"/>
  <c r="C28" i="2" s="1"/>
  <c r="E20" i="2"/>
  <c r="D20" i="2"/>
  <c r="C20" i="2"/>
  <c r="E18" i="2"/>
  <c r="D18" i="2"/>
  <c r="C18" i="2"/>
  <c r="E16" i="2"/>
  <c r="E17" i="2" s="1"/>
  <c r="D16" i="2"/>
  <c r="D17" i="2" s="1"/>
  <c r="C16" i="2"/>
  <c r="C17" i="2" s="1"/>
  <c r="E15" i="2"/>
  <c r="D15" i="2"/>
  <c r="C15" i="2"/>
  <c r="E9" i="2"/>
  <c r="E10" i="2" s="1"/>
  <c r="D9" i="2"/>
  <c r="D10" i="2" s="1"/>
  <c r="C9" i="2"/>
  <c r="C10" i="2" s="1"/>
  <c r="S7" i="2"/>
  <c r="R7" i="2"/>
  <c r="Q7" i="2"/>
  <c r="L7" i="2"/>
  <c r="J7" i="2"/>
  <c r="I7" i="2"/>
  <c r="H7" i="2"/>
  <c r="E7" i="2"/>
  <c r="E48" i="2" s="1"/>
  <c r="D7" i="2"/>
  <c r="D6" i="2" s="1"/>
  <c r="D11" i="4" s="1"/>
  <c r="C7" i="2"/>
  <c r="C6" i="2" s="1"/>
  <c r="D10" i="4" s="1"/>
  <c r="S6" i="2"/>
  <c r="R6" i="2"/>
  <c r="Q6" i="2"/>
  <c r="L6" i="2"/>
  <c r="J6" i="2"/>
  <c r="I6" i="2"/>
  <c r="H6" i="2"/>
  <c r="E6" i="2"/>
  <c r="D12" i="4" s="1"/>
  <c r="S5" i="2"/>
  <c r="R5" i="2"/>
  <c r="Q5" i="2"/>
  <c r="L5" i="2"/>
  <c r="J5" i="2"/>
  <c r="I5" i="2"/>
  <c r="H5" i="2"/>
  <c r="E5" i="2"/>
  <c r="D5" i="2"/>
  <c r="C5" i="2"/>
  <c r="I113" i="1"/>
  <c r="I112" i="1"/>
  <c r="I111" i="1"/>
  <c r="K52" i="1"/>
  <c r="L164" i="5" s="1"/>
  <c r="I52" i="1"/>
  <c r="K164" i="5" s="1"/>
  <c r="M26" i="1"/>
  <c r="K26" i="1"/>
  <c r="D41" i="4" s="1"/>
  <c r="I26" i="1"/>
  <c r="K41" i="6" l="1"/>
  <c r="K49" i="5"/>
  <c r="K50" i="5"/>
  <c r="K56" i="5" s="1"/>
  <c r="E173" i="5" s="1"/>
  <c r="C50" i="2"/>
  <c r="E52" i="2"/>
  <c r="M65" i="1" s="1"/>
  <c r="M63" i="1"/>
  <c r="E14" i="2"/>
  <c r="M24" i="1" s="1"/>
  <c r="D36" i="4" s="1"/>
  <c r="E12" i="2"/>
  <c r="I49" i="5"/>
  <c r="I50" i="5"/>
  <c r="I56" i="5" s="1"/>
  <c r="E161" i="5" s="1"/>
  <c r="M50" i="5"/>
  <c r="M56" i="5" s="1"/>
  <c r="E185" i="5" s="1"/>
  <c r="M49" i="5"/>
  <c r="H158" i="5"/>
  <c r="I59" i="5"/>
  <c r="D19" i="2"/>
  <c r="D27" i="2" s="1"/>
  <c r="H182" i="5"/>
  <c r="M59" i="5"/>
  <c r="H113" i="1"/>
  <c r="M164" i="5"/>
  <c r="T7" i="2"/>
  <c r="E38" i="2"/>
  <c r="M154" i="5"/>
  <c r="D50" i="2"/>
  <c r="K163" i="5"/>
  <c r="G111" i="1"/>
  <c r="K5" i="2"/>
  <c r="R73" i="1"/>
  <c r="E19" i="2"/>
  <c r="E27" i="2" s="1"/>
  <c r="G113" i="1"/>
  <c r="M163" i="5"/>
  <c r="K7" i="2"/>
  <c r="R75" i="1"/>
  <c r="C19" i="2"/>
  <c r="C27" i="2" s="1"/>
  <c r="H170" i="5"/>
  <c r="K59" i="5"/>
  <c r="K6" i="2"/>
  <c r="L163" i="5"/>
  <c r="R74" i="1"/>
  <c r="G112" i="1"/>
  <c r="C12" i="2"/>
  <c r="C14" i="2"/>
  <c r="I24" i="1" s="1"/>
  <c r="D34" i="4" s="1"/>
  <c r="D12" i="2"/>
  <c r="D14" i="2"/>
  <c r="K24" i="1" s="1"/>
  <c r="D35" i="4" s="1"/>
  <c r="H112" i="1"/>
  <c r="L154" i="5"/>
  <c r="K47" i="6"/>
  <c r="D105" i="6"/>
  <c r="E105" i="6"/>
  <c r="M40" i="6"/>
  <c r="I105" i="6" s="1"/>
  <c r="C38" i="2"/>
  <c r="D38" i="2"/>
  <c r="J108" i="6"/>
  <c r="T6" i="2"/>
  <c r="K42" i="6"/>
  <c r="K108" i="6"/>
  <c r="L108" i="6"/>
  <c r="I61" i="6"/>
  <c r="M108" i="6"/>
  <c r="H111" i="1"/>
  <c r="T5" i="2"/>
  <c r="C48" i="2"/>
  <c r="D48" i="2"/>
  <c r="K43" i="6"/>
  <c r="K61" i="6"/>
  <c r="D115" i="6"/>
  <c r="M61" i="6"/>
  <c r="M62" i="6" s="1"/>
  <c r="E115" i="6"/>
  <c r="I62" i="6"/>
  <c r="K44" i="6"/>
  <c r="K62" i="6"/>
  <c r="J109" i="6"/>
  <c r="K109" i="6"/>
  <c r="I115" i="6"/>
  <c r="K45" i="6"/>
  <c r="L109" i="6"/>
  <c r="J115" i="6"/>
  <c r="M109" i="6"/>
  <c r="I84" i="6"/>
  <c r="K84" i="6"/>
  <c r="J105" i="6" l="1"/>
  <c r="I69" i="5"/>
  <c r="I11" i="6" s="1"/>
  <c r="S84" i="5"/>
  <c r="I68" i="5"/>
  <c r="I67" i="5"/>
  <c r="S81" i="5"/>
  <c r="S80" i="5"/>
  <c r="S79" i="5"/>
  <c r="I72" i="5"/>
  <c r="M45" i="6"/>
  <c r="M44" i="6"/>
  <c r="M43" i="6"/>
  <c r="M111" i="6"/>
  <c r="L111" i="6"/>
  <c r="M42" i="6"/>
  <c r="K111" i="6"/>
  <c r="J111" i="6"/>
  <c r="M41" i="6"/>
  <c r="M110" i="6"/>
  <c r="L110" i="6"/>
  <c r="K110" i="6"/>
  <c r="M47" i="6"/>
  <c r="J110" i="6"/>
  <c r="M46" i="6"/>
  <c r="I86" i="6"/>
  <c r="I87" i="6" s="1"/>
  <c r="I85" i="6"/>
  <c r="D21" i="2"/>
  <c r="K23" i="1"/>
  <c r="D32" i="4" s="1"/>
  <c r="M23" i="1"/>
  <c r="D33" i="4" s="1"/>
  <c r="E21" i="2"/>
  <c r="E113" i="1"/>
  <c r="P75" i="1"/>
  <c r="M41" i="5"/>
  <c r="M54" i="5" s="1"/>
  <c r="I63" i="1"/>
  <c r="C52" i="2"/>
  <c r="I65" i="1" s="1"/>
  <c r="E56" i="2"/>
  <c r="M69" i="1" s="1"/>
  <c r="E55" i="2"/>
  <c r="M68" i="1" s="1"/>
  <c r="S75" i="1"/>
  <c r="D52" i="2"/>
  <c r="K65" i="1" s="1"/>
  <c r="K63" i="1"/>
  <c r="D56" i="2"/>
  <c r="K69" i="1" s="1"/>
  <c r="D55" i="2"/>
  <c r="K68" i="1" s="1"/>
  <c r="S74" i="1"/>
  <c r="M67" i="5"/>
  <c r="S128" i="5"/>
  <c r="M68" i="5"/>
  <c r="S125" i="5"/>
  <c r="S124" i="5"/>
  <c r="S123" i="5"/>
  <c r="M72" i="5"/>
  <c r="M69" i="5"/>
  <c r="M11" i="6" s="1"/>
  <c r="C21" i="2"/>
  <c r="I23" i="1"/>
  <c r="D31" i="4" s="1"/>
  <c r="K86" i="6"/>
  <c r="K87" i="6" s="1"/>
  <c r="K85" i="6"/>
  <c r="C55" i="2"/>
  <c r="I68" i="1" s="1"/>
  <c r="C56" i="2"/>
  <c r="I69" i="1" s="1"/>
  <c r="S73" i="1"/>
  <c r="S101" i="5"/>
  <c r="K69" i="5"/>
  <c r="K11" i="6" s="1"/>
  <c r="K68" i="5"/>
  <c r="S102" i="5"/>
  <c r="K67" i="5"/>
  <c r="S106" i="5"/>
  <c r="K72" i="5"/>
  <c r="S103" i="5"/>
  <c r="K41" i="5" l="1"/>
  <c r="K54" i="5" s="1"/>
  <c r="E112" i="1"/>
  <c r="P74" i="1"/>
  <c r="P73" i="1"/>
  <c r="I41" i="5"/>
  <c r="I54" i="5" s="1"/>
  <c r="E111" i="1"/>
  <c r="K25" i="6"/>
  <c r="K89" i="6"/>
  <c r="K64" i="6"/>
  <c r="K54" i="1"/>
  <c r="L166" i="5" s="1"/>
  <c r="D29" i="2"/>
  <c r="K55" i="1" s="1"/>
  <c r="E29" i="2"/>
  <c r="M55" i="1" s="1"/>
  <c r="M54" i="1"/>
  <c r="M166" i="5" s="1"/>
  <c r="C29" i="2"/>
  <c r="I55" i="1" s="1"/>
  <c r="I54" i="1"/>
  <c r="K166" i="5" s="1"/>
  <c r="M64" i="6"/>
  <c r="M89" i="6"/>
  <c r="M25" i="6"/>
  <c r="E182" i="5"/>
  <c r="M57" i="5"/>
  <c r="I25" i="6"/>
  <c r="I64" i="6"/>
  <c r="I89" i="6"/>
  <c r="M58" i="5" l="1"/>
  <c r="M70" i="5"/>
  <c r="K127" i="5" s="1"/>
  <c r="M82" i="6"/>
  <c r="K121" i="6"/>
  <c r="Q73" i="1"/>
  <c r="C51" i="2"/>
  <c r="I64" i="1" s="1"/>
  <c r="F111" i="1"/>
  <c r="M5" i="2"/>
  <c r="K167" i="5"/>
  <c r="K153" i="5"/>
  <c r="C39" i="2"/>
  <c r="D51" i="2"/>
  <c r="K64" i="1" s="1"/>
  <c r="M6" i="2"/>
  <c r="F112" i="1"/>
  <c r="Q74" i="1"/>
  <c r="L167" i="5"/>
  <c r="L153" i="5"/>
  <c r="D39" i="2"/>
  <c r="K26" i="6"/>
  <c r="K27" i="6"/>
  <c r="F109" i="6" s="1"/>
  <c r="K82" i="6"/>
  <c r="K119" i="6"/>
  <c r="K117" i="6"/>
  <c r="I82" i="6"/>
  <c r="I59" i="6"/>
  <c r="F117" i="6"/>
  <c r="I26" i="6"/>
  <c r="I27" i="6"/>
  <c r="F107" i="6" s="1"/>
  <c r="M26" i="6"/>
  <c r="M27" i="6"/>
  <c r="F111" i="6" s="1"/>
  <c r="F121" i="6"/>
  <c r="M59" i="6"/>
  <c r="F113" i="1"/>
  <c r="M7" i="2"/>
  <c r="M167" i="5"/>
  <c r="Q75" i="1"/>
  <c r="E51" i="2"/>
  <c r="M64" i="1" s="1"/>
  <c r="M153" i="5"/>
  <c r="E39" i="2"/>
  <c r="K59" i="6"/>
  <c r="F119" i="6"/>
  <c r="E158" i="5"/>
  <c r="I57" i="5"/>
  <c r="E170" i="5"/>
  <c r="K57" i="5"/>
  <c r="K60" i="6" l="1"/>
  <c r="K65" i="6"/>
  <c r="K63" i="6"/>
  <c r="E119" i="6"/>
  <c r="I58" i="5"/>
  <c r="I70" i="5"/>
  <c r="K83" i="5" s="1"/>
  <c r="D54" i="2"/>
  <c r="K67" i="1" s="1"/>
  <c r="D53" i="2"/>
  <c r="K66" i="1" s="1"/>
  <c r="E54" i="2"/>
  <c r="M67" i="1" s="1"/>
  <c r="E53" i="2"/>
  <c r="M66" i="1" s="1"/>
  <c r="C54" i="2"/>
  <c r="I67" i="1" s="1"/>
  <c r="C53" i="2"/>
  <c r="I66" i="1" s="1"/>
  <c r="M90" i="6"/>
  <c r="M83" i="6"/>
  <c r="M88" i="6"/>
  <c r="J121" i="6"/>
  <c r="I90" i="6"/>
  <c r="J117" i="6"/>
  <c r="I83" i="6"/>
  <c r="I88" i="6"/>
  <c r="K90" i="6"/>
  <c r="K88" i="6"/>
  <c r="J119" i="6"/>
  <c r="K83" i="6"/>
  <c r="E109" i="6"/>
  <c r="K28" i="6"/>
  <c r="K29" i="6"/>
  <c r="M65" i="6"/>
  <c r="E121" i="6"/>
  <c r="M63" i="6"/>
  <c r="M60" i="6"/>
  <c r="M28" i="6"/>
  <c r="M29" i="6"/>
  <c r="E111" i="6"/>
  <c r="K58" i="5"/>
  <c r="K70" i="5"/>
  <c r="K105" i="5" s="1"/>
  <c r="I28" i="6"/>
  <c r="E107" i="6"/>
  <c r="I29" i="6"/>
  <c r="E117" i="6"/>
  <c r="I65" i="6"/>
  <c r="I60" i="6"/>
  <c r="I63" i="6"/>
  <c r="K128" i="5"/>
  <c r="M66" i="5"/>
  <c r="M10" i="6" s="1"/>
  <c r="K125" i="5"/>
  <c r="K124" i="5"/>
  <c r="M65" i="5"/>
  <c r="K123" i="5"/>
  <c r="M64" i="5"/>
  <c r="M71" i="5"/>
  <c r="M30" i="6" l="1"/>
  <c r="F110" i="6" s="1"/>
  <c r="M91" i="6"/>
  <c r="K120" i="6" s="1"/>
  <c r="M66" i="6"/>
  <c r="F120" i="6" s="1"/>
  <c r="H117" i="6"/>
  <c r="G117" i="6"/>
  <c r="J116" i="6"/>
  <c r="H119" i="6"/>
  <c r="G119" i="6"/>
  <c r="J118" i="6"/>
  <c r="I41" i="6"/>
  <c r="E106" i="6"/>
  <c r="H107" i="6"/>
  <c r="G107" i="6"/>
  <c r="M92" i="6"/>
  <c r="J120" i="6"/>
  <c r="E110" i="6"/>
  <c r="M31" i="6"/>
  <c r="G111" i="6"/>
  <c r="H111" i="6"/>
  <c r="E120" i="6"/>
  <c r="M67" i="6"/>
  <c r="G109" i="6"/>
  <c r="H109" i="6"/>
  <c r="E118" i="6"/>
  <c r="M119" i="6"/>
  <c r="L119" i="6"/>
  <c r="L117" i="6"/>
  <c r="M117" i="6"/>
  <c r="E116" i="6"/>
  <c r="L121" i="6"/>
  <c r="M121" i="6"/>
  <c r="K101" i="5"/>
  <c r="K66" i="5"/>
  <c r="K10" i="6" s="1"/>
  <c r="K65" i="5"/>
  <c r="K106" i="5"/>
  <c r="K64" i="5"/>
  <c r="K71" i="5"/>
  <c r="K103" i="5"/>
  <c r="K102" i="5"/>
  <c r="H121" i="6"/>
  <c r="G121" i="6"/>
  <c r="K84" i="5"/>
  <c r="K81" i="5"/>
  <c r="I66" i="5"/>
  <c r="I10" i="6" s="1"/>
  <c r="K80" i="5"/>
  <c r="K79" i="5"/>
  <c r="I65" i="5"/>
  <c r="I64" i="5"/>
  <c r="I71" i="5"/>
  <c r="E108" i="6"/>
  <c r="M93" i="6" l="1"/>
  <c r="M120" i="6"/>
  <c r="L120" i="6"/>
  <c r="H110" i="6"/>
  <c r="M32" i="6"/>
  <c r="G110" i="6"/>
  <c r="K30" i="6"/>
  <c r="K91" i="6"/>
  <c r="K66" i="6"/>
  <c r="J106" i="6"/>
  <c r="I44" i="6"/>
  <c r="G120" i="6"/>
  <c r="H120" i="6"/>
  <c r="M68" i="6"/>
  <c r="I30" i="6"/>
  <c r="I45" i="6"/>
  <c r="K107" i="6" s="1"/>
  <c r="I91" i="6"/>
  <c r="I66" i="6"/>
  <c r="F116" i="6" l="1"/>
  <c r="I67" i="6"/>
  <c r="I46" i="6"/>
  <c r="J107" i="6"/>
  <c r="F118" i="6"/>
  <c r="K67" i="6"/>
  <c r="F108" i="6"/>
  <c r="K31" i="6"/>
  <c r="K116" i="6"/>
  <c r="I92" i="6"/>
  <c r="F106" i="6"/>
  <c r="I42" i="6"/>
  <c r="K106" i="6" s="1"/>
  <c r="I31" i="6"/>
  <c r="K118" i="6"/>
  <c r="K92" i="6"/>
  <c r="K93" i="6" l="1"/>
  <c r="L118" i="6"/>
  <c r="M118" i="6"/>
  <c r="G108" i="6"/>
  <c r="K32" i="6"/>
  <c r="H108" i="6"/>
  <c r="H116" i="6"/>
  <c r="G116" i="6"/>
  <c r="I68" i="6"/>
  <c r="H106" i="6"/>
  <c r="G106" i="6"/>
  <c r="I43" i="6"/>
  <c r="I47" i="6" s="1"/>
  <c r="I32" i="6"/>
  <c r="M116" i="6"/>
  <c r="L116" i="6"/>
  <c r="I93" i="6"/>
  <c r="H118" i="6"/>
  <c r="K68" i="6"/>
  <c r="G118" i="6"/>
  <c r="M107" i="6"/>
  <c r="L107" i="6"/>
  <c r="M106" i="6" l="1"/>
  <c r="L106" i="6"/>
</calcChain>
</file>

<file path=xl/sharedStrings.xml><?xml version="1.0" encoding="utf-8"?>
<sst xmlns="http://schemas.openxmlformats.org/spreadsheetml/2006/main" count="1730" uniqueCount="768">
  <si>
    <t>Energy Cost Analysis - Audited Power Cost Model</t>
  </si>
  <si>
    <t>Key Assumptions</t>
  </si>
  <si>
    <t>Unit</t>
  </si>
  <si>
    <t>Value (2026)</t>
  </si>
  <si>
    <t>Value (2036)</t>
  </si>
  <si>
    <t>Value (2051)</t>
  </si>
  <si>
    <t>Notes / Source Facts</t>
  </si>
  <si>
    <t>Arizona Ground Incident Solar Resource</t>
  </si>
  <si>
    <t>kWh/m2/day</t>
  </si>
  <si>
    <t>From Sunlight-Analysis File - Winter flat one axis tracking panel (Arizona)</t>
  </si>
  <si>
    <t>SSO Incident Solar Resource</t>
  </si>
  <si>
    <t>From Sunlight-Analysis File - Winter 500 km SSO in sun-track</t>
  </si>
  <si>
    <t>Ground Weather / Environment Factor</t>
  </si>
  <si>
    <t>x</t>
  </si>
  <si>
    <t>Arizona winter weather, dust, sand, vegetation, etc.</t>
  </si>
  <si>
    <t>Firm Solar Battery Duration</t>
  </si>
  <si>
    <t>hours</t>
  </si>
  <si>
    <t>24/7 constant solar+battery storage output: 24h - 9.6h winter collection window.</t>
  </si>
  <si>
    <t>Space Array Hardware Cost</t>
  </si>
  <si>
    <t>$/m2</t>
  </si>
  <si>
    <t>Optimistic Estimate for light weight, vibe/vacuum/thermal/radiation engineered, extendable, SpaceX/Tesla built panels - 1.5X Ground Installed PV system cost as my reasonable bound</t>
  </si>
  <si>
    <t>Space Panel Useful Life</t>
  </si>
  <si>
    <t>years</t>
  </si>
  <si>
    <t>5 years assumption for non-modular AI-Sat-Mini due to outdated compute hardware. 30 year assumption for modular solar farm with replaceable compute modules.</t>
  </si>
  <si>
    <t>Space Battery Req.</t>
  </si>
  <si>
    <t>kWh/kW</t>
  </si>
  <si>
    <t>Assuming high altitude SSO, very small battery required, assumed negligable</t>
  </si>
  <si>
    <t>Sourced Assumptions</t>
  </si>
  <si>
    <t>Source Projection Year</t>
  </si>
  <si>
    <t>year</t>
  </si>
  <si>
    <t>2051 column uses 2050 where source projections stop. SF-ATB.</t>
  </si>
  <si>
    <t>Ground PV Installed System Cost</t>
  </si>
  <si>
    <t>Derived from ATB $/kWac, ILR, and module efficiency. SF-ATB-PV/SF-DOE-PV.</t>
  </si>
  <si>
    <t>Ground PV Fixed O&amp;M</t>
  </si>
  <si>
    <t>$/m2-yr</t>
  </si>
  <si>
    <t>Derived from ATB $/kWac-yr and area per kWac. SF-ATB-PV.</t>
  </si>
  <si>
    <t>Ground PV STC Module Efficiency</t>
  </si>
  <si>
    <t>%</t>
  </si>
  <si>
    <t>2026 DOE benchmark; future values are analyst estimates anchored to ATB/ITRPV improvement direction. SF-DOE-PV/SF-ATB-PV.</t>
  </si>
  <si>
    <t>Ground Panel Effective Efficiency @ 55C</t>
  </si>
  <si>
    <t>Hot-operating effective efficiency after temperature derate.</t>
  </si>
  <si>
    <t>Ground Temperature Derate Factor</t>
  </si>
  <si>
    <t>Analyst estimate for hot Arizona operation; kept explicit. SF-DOE-PV/SF-ATB-PV.</t>
  </si>
  <si>
    <t>Ground Panel Degradation</t>
  </si>
  <si>
    <t>%/yr</t>
  </si>
  <si>
    <t>ATB degradation pathway: 0.7% base, 0.5% moderate, 0.2% advanced. SF-ATB-PV.</t>
  </si>
  <si>
    <t>Ground PV Fixed Charge Rate</t>
  </si>
  <si>
    <t>ATB UtilityPV Class 1 R&amp;D 30-year fixed charge rate. SF-ATB-PV.</t>
  </si>
  <si>
    <t>4h Battery CAPEX Reference</t>
  </si>
  <si>
    <t>$/kW</t>
  </si>
  <si>
    <t>ATB 4-hour utility BESS CAPEX reference; firm solar case scales fixed costs by required duration. SF-ATB-BESS.</t>
  </si>
  <si>
    <t>4h Battery Capital Fixed Cost Reference</t>
  </si>
  <si>
    <t>$/kW-yr</t>
  </si>
  <si>
    <t>ATB 4-hour utility BESS capital fixed cost reference; scaled by firm duration. SF-ATB-BESS.</t>
  </si>
  <si>
    <t>4h Battery Fixed O&amp;M Reference</t>
  </si>
  <si>
    <t>ATB 4-hour utility BESS fixed O&amp;M reference; scaled by firm duration. SF-ATB-BESS.</t>
  </si>
  <si>
    <t>Ground Battery Round-trip Efficiency</t>
  </si>
  <si>
    <t>ATB representative utility battery RTE; used to gross up PV energy and storage capacity in firm solar+BESS. SF-ATB-BESS.</t>
  </si>
  <si>
    <t>Space Panel Density</t>
  </si>
  <si>
    <t>kg/m2</t>
  </si>
  <si>
    <t>Analyst best-case lightweight array density, checked against NASA specific-power context. SF-NASA-POWER.</t>
  </si>
  <si>
    <t>Space Panel Net Efficiency @ 95C</t>
  </si>
  <si>
    <t>Lowered analyst estimate for SpaceX mass-produced, cost-optimized arrays operating hot in LEO. SF-SPACE-EFFICIENCY.</t>
  </si>
  <si>
    <t>Space Panel Degradation</t>
  </si>
  <si>
    <t>Short LEO mission estimate; useful life is constrained by refresh/deorbit rather than theoretical panel life. SF-SPACEX.</t>
  </si>
  <si>
    <t>Space Battery Storage Cost</t>
  </si>
  <si>
    <t>$/kWh</t>
  </si>
  <si>
    <t>Analyst placeholder; unused while Space Battery Req. is zero. SF-ATB-BESS/SF-NASA-POWER.</t>
  </si>
  <si>
    <t>Power Source LCOE / Cost Benchmarks</t>
  </si>
  <si>
    <t>Nuclear Existing LCOE Proxy</t>
  </si>
  <si>
    <t>Existing fleet operating-cost proxy; not a new-build LCOE. SF-LAZARD.</t>
  </si>
  <si>
    <t>Nuclear New Build LCOE</t>
  </si>
  <si>
    <t>New-build/advanced nuclear benchmark. SF-EIA/SF-ATB.</t>
  </si>
  <si>
    <t>Nat Gas Existing LCOE Proxy</t>
  </si>
  <si>
    <t>Existing CCGT operating-cost proxy. SF-LAZARD.</t>
  </si>
  <si>
    <t>Nat Gas New Build LCOE</t>
  </si>
  <si>
    <t>New-build combined-cycle benchmark. SF-EIA/SF-LAZARD.</t>
  </si>
  <si>
    <t>Coal Existing LCOE Proxy</t>
  </si>
  <si>
    <t>Existing coal operating-cost proxy. SF-LAZARD.</t>
  </si>
  <si>
    <t>Coal New Build LCOE</t>
  </si>
  <si>
    <t>Comparative new-build coal value; unlikely U.S. base-case build. SF-EIA/SF-LAZARD.</t>
  </si>
  <si>
    <t>Wind Existing LCOE Proxy</t>
  </si>
  <si>
    <t>Existing/new contracted U.S. wind proxy. SF-LAZARD.</t>
  </si>
  <si>
    <t>Wind New Build LCOE</t>
  </si>
  <si>
    <t>ATB land-based wind Class 4 Moderate R&amp;D 30-year LCOE. SF-ATB-WIND.</t>
  </si>
  <si>
    <t>Wind + 4h Battery New Build LCOE</t>
  </si>
  <si>
    <t>Wind LCOE plus comparable 4-hour BESS cost adder. SF-ATB-WIND/SF-ATB-BESS.</t>
  </si>
  <si>
    <t>Hydro Existing LCOE Proxy</t>
  </si>
  <si>
    <t>Hydro existing O&amp;M proxy from ATB FOM and CF, excluding sunk capex. SF-ATB-HYDRO.</t>
  </si>
  <si>
    <t>Hydro New Build LCOE</t>
  </si>
  <si>
    <t>ATB Hydropower NPD1 Moderate R&amp;D 30-year LCOE. SF-ATB-HYDRO.</t>
  </si>
  <si>
    <t>Ground Solar (Arizona) New Build LCOE</t>
  </si>
  <si>
    <t>Calculated from 6.52 kWh/m2/day resource, efficiency, weather/environment factor, capex, O&amp;M, and FCR.</t>
  </si>
  <si>
    <t>Ground Solar + Firm Battery (Arizona) New Build LCOE</t>
  </si>
  <si>
    <t>Calculated PV LCOE plus firm daily-shift BESS sized for 24/7 constant output.</t>
  </si>
  <si>
    <t>NREL PV+BESS 4h Benchmark (not model driver)</t>
  </si>
  <si>
    <t>ATB PV+BESS Class 1 4-hour benchmark shown only as cross-check. Not used in break-even formulas. SF-ATB-PVBESS.</t>
  </si>
  <si>
    <t>China Solar+BESS LCOE (separate)</t>
  </si>
  <si>
    <t>China-only comparison. Excluded from U.S. cheapest-source logic. SF-IRENA/IEA.</t>
  </si>
  <si>
    <t>Results</t>
  </si>
  <si>
    <t>Notes</t>
  </si>
  <si>
    <t>Space Solar Cost (after deployment, excl. launch)</t>
  </si>
  <si>
    <t>Power hardware cost divided by lifetime delivered SSO kWh after deployment.</t>
  </si>
  <si>
    <t>Break Even Launch Cost vs. Ground Solar+Firm Battery (Arizona)</t>
  </si>
  <si>
    <t>$/kg</t>
  </si>
  <si>
    <t>Launch $/kg that makes orbital power equal calculated Arizona firm solar+BESS.</t>
  </si>
  <si>
    <t>Break Even Launch Cost vs. Ground Solar+BESS (China)</t>
  </si>
  <si>
    <t>China result shown separately; excluded from U.S. cheapest-source logic.</t>
  </si>
  <si>
    <t>Break Even Launch Cost vs. Cheapest New Build Power Source (US)</t>
  </si>
  <si>
    <t>Cheapest U.S. new-build LCOE rows only; standalone wind and solar excluded.</t>
  </si>
  <si>
    <t>Cheapest New Build Power Source (US)</t>
  </si>
  <si>
    <t>name</t>
  </si>
  <si>
    <t>China, benchmark-only rows, standalone wind, and standalone solar excluded.</t>
  </si>
  <si>
    <t>Break Even Launch Cost vs. Cheapest Existing Power Source (US)</t>
  </si>
  <si>
    <t>Cheapest U.S. existing-source proxy rows only; standalone wind excluded.</t>
  </si>
  <si>
    <t>Cheapest Existing Power Source (US)</t>
  </si>
  <si>
    <t>Existing proxies exclude China, new-build rows, and standalone wind.</t>
  </si>
  <si>
    <t>Year</t>
  </si>
  <si>
    <t>Space Solar ($/MWh)</t>
  </si>
  <si>
    <t>AZ Firm Solar+BESS ($/MWh)</t>
  </si>
  <si>
    <t>Wind+BESS ($/MWh)</t>
  </si>
  <si>
    <t>Cheapest Existing US ($/MWh)</t>
  </si>
  <si>
    <t>Nat Gas New Build ($/MWh)</t>
  </si>
  <si>
    <t>Model Detail - Physical Energy and LCOE Logic</t>
  </si>
  <si>
    <t>Metric</t>
  </si>
  <si>
    <t>2026</t>
  </si>
  <si>
    <t>2036</t>
  </si>
  <si>
    <t>2051</t>
  </si>
  <si>
    <t>Source projection year</t>
  </si>
  <si>
    <t>2051 uses 2050 endpoint.</t>
  </si>
  <si>
    <t>Nuclear</t>
  </si>
  <si>
    <t>Nat Gas</t>
  </si>
  <si>
    <t>Coal</t>
  </si>
  <si>
    <t>Wind+BESS</t>
  </si>
  <si>
    <t>Hydro</t>
  </si>
  <si>
    <t>Solar+BESS</t>
  </si>
  <si>
    <t>Ground incident energy</t>
  </si>
  <si>
    <t>Linked from main assumptions.</t>
  </si>
  <si>
    <t>Solar power advantage</t>
  </si>
  <si>
    <t>SSO incident energy</t>
  </si>
  <si>
    <t>Ground incident x solar power advantage.</t>
  </si>
  <si>
    <t>PV ILR</t>
  </si>
  <si>
    <t>DC/AC</t>
  </si>
  <si>
    <t>ATB utility PV ILR.</t>
  </si>
  <si>
    <t>PV STC module efficiency</t>
  </si>
  <si>
    <t>Area per kWac</t>
  </si>
  <si>
    <t>m2/kWac</t>
  </si>
  <si>
    <t>ILR / STC module efficiency.</t>
  </si>
  <si>
    <t>PV capex</t>
  </si>
  <si>
    <t>$/kWac</t>
  </si>
  <si>
    <t>ATB UtilityPV Class 1 CAPEX.</t>
  </si>
  <si>
    <t>PV installed system cost</t>
  </si>
  <si>
    <t>PV capex / area per kWac.</t>
  </si>
  <si>
    <t>PV FOM</t>
  </si>
  <si>
    <t>$/kWac-yr</t>
  </si>
  <si>
    <t>ATB UtilityPV Class 1 fixed O&amp;M.</t>
  </si>
  <si>
    <t>PV FOM / area per kWac.</t>
  </si>
  <si>
    <t>Ground hot efficiency</t>
  </si>
  <si>
    <t>Ground degradation</t>
  </si>
  <si>
    <t>Ground avg degradation factor</t>
  </si>
  <si>
    <t>Geometric average over 30-year ATB cost recovery life.</t>
  </si>
  <si>
    <t>Ground weather/environment factor</t>
  </si>
  <si>
    <t>Linked from key assumptions; captures weather, dust, wind, and other site losses.</t>
  </si>
  <si>
    <t>Ground annual delivered electricity</t>
  </si>
  <si>
    <t>kWh/m2-yr</t>
  </si>
  <si>
    <t>6.52 x 365 x hot efficiency x weather/environment factor x degradation factor.</t>
  </si>
  <si>
    <t>PV FCR</t>
  </si>
  <si>
    <t>Ground PV calculated LCOE</t>
  </si>
  <si>
    <t>(capex x FCR + FOM) / annual delivered kWh/m2.</t>
  </si>
  <si>
    <t>ATB PV benchmark LCOE</t>
  </si>
  <si>
    <t>Placeholder row overwritten below.</t>
  </si>
  <si>
    <t>Firm solar battery duration</t>
  </si>
  <si>
    <t>Daily-shift storage duration for 24/7 constant solar+BESS output.</t>
  </si>
  <si>
    <t>4h battery CAPEX reference</t>
  </si>
  <si>
    <t>4h battery CFC reference</t>
  </si>
  <si>
    <t>4h battery FOM reference</t>
  </si>
  <si>
    <t>PV annual kWh per kWac</t>
  </si>
  <si>
    <t>kWh/kWac-yr</t>
  </si>
  <si>
    <t>Ground annual kWh/m2 x area per kWac.</t>
  </si>
  <si>
    <t>Firm BESS cost adder on solar</t>
  </si>
  <si>
    <t>4-hour ATB battery fixed cost scaled to firm battery duration and RTE.</t>
  </si>
  <si>
    <t>Ground Solar+Firm Battery calculated LCOE</t>
  </si>
  <si>
    <t>PV LCOE grossed up for storage losses plus firm BESS cost adder.</t>
  </si>
  <si>
    <t>Wind new-build LCOE</t>
  </si>
  <si>
    <t>ATB land-based wind Class 4.</t>
  </si>
  <si>
    <t>Wind capacity factor</t>
  </si>
  <si>
    <t>BESS cost adder on wind</t>
  </si>
  <si>
    <t>(battery CFC + FOM) / wind annual kWh per kW.</t>
  </si>
  <si>
    <t>Wind+BESS calculated LCOE</t>
  </si>
  <si>
    <t>Wind LCOE + BESS cost adder.</t>
  </si>
  <si>
    <t>Hydro FOM</t>
  </si>
  <si>
    <t>ATB Hydropower NPD1 FOM.</t>
  </si>
  <si>
    <t>Hydro CF</t>
  </si>
  <si>
    <t>ATB Hydropower NPD1 CF.</t>
  </si>
  <si>
    <t>Hydro existing proxy</t>
  </si>
  <si>
    <t>Hydro FOM / annual kWh per kW.</t>
  </si>
  <si>
    <t>Existing source 1</t>
  </si>
  <si>
    <t>Helper block below supplies cheapest existing.</t>
  </si>
  <si>
    <t>Cheapest existing US LCOE</t>
  </si>
  <si>
    <t>Minimum of U.S. existing proxies only; excludes standalone wind/solar.</t>
  </si>
  <si>
    <t>Cheapest new-build US LCOE</t>
  </si>
  <si>
    <t>Minimum of U.S. new-build LCOE rows only; excludes standalone wind/solar.</t>
  </si>
  <si>
    <t>Space array cost</t>
  </si>
  <si>
    <t>Space battery requirement</t>
  </si>
  <si>
    <t>Space battery cost</t>
  </si>
  <si>
    <t>Space panel density</t>
  </si>
  <si>
    <t>Space net efficiency</t>
  </si>
  <si>
    <t>Space degradation</t>
  </si>
  <si>
    <t>Space useful life</t>
  </si>
  <si>
    <t>Space avg degradation factor</t>
  </si>
  <si>
    <t>Geometric average over useful life.</t>
  </si>
  <si>
    <t>Space lifetime delivered electricity</t>
  </si>
  <si>
    <t>kWh/m2</t>
  </si>
  <si>
    <t>SSO incident x 365 x net efficiency x life x degradation factor.</t>
  </si>
  <si>
    <t>Space battery cost component</t>
  </si>
  <si>
    <t>Only applies if battery requirement is nonzero.</t>
  </si>
  <si>
    <t>Space non-launch LCOE</t>
  </si>
  <si>
    <t>Power hardware cost / lifetime SSO delivered electricity.</t>
  </si>
  <si>
    <t>BE launch vs Arizona firm solar+BESS</t>
  </si>
  <si>
    <t>Uses space density and lifetime kWh per m2.</t>
  </si>
  <si>
    <t>BE launch vs China solar+BESS</t>
  </si>
  <si>
    <t>China separate result.</t>
  </si>
  <si>
    <t>BE launch vs cheapest new-build US</t>
  </si>
  <si>
    <t>China excluded.</t>
  </si>
  <si>
    <t>Cheapest new-build US source</t>
  </si>
  <si>
    <t>Helper result.</t>
  </si>
  <si>
    <t>BE launch vs cheapest existing US</t>
  </si>
  <si>
    <t>China/new build excluded.</t>
  </si>
  <si>
    <t>Cheapest existing US source</t>
  </si>
  <si>
    <t>Source Facts</t>
  </si>
  <si>
    <t>Fact ID</t>
  </si>
  <si>
    <t>Source</t>
  </si>
  <si>
    <t>URL / Path</t>
  </si>
  <si>
    <t>Short Quote / Row Excerpt</t>
  </si>
  <si>
    <t>Used For</t>
  </si>
  <si>
    <t>Type</t>
  </si>
  <si>
    <t>Confidence</t>
  </si>
  <si>
    <t>SF-USER-GROUND</t>
  </si>
  <si>
    <t>User instruction in this thread</t>
  </si>
  <si>
    <t>Conversation</t>
  </si>
  <si>
    <t>change the winter number to 6.52 kWh/m2/day</t>
  </si>
  <si>
    <t>Ground incident solar resource</t>
  </si>
  <si>
    <t>User-provided</t>
  </si>
  <si>
    <t>High</t>
  </si>
  <si>
    <t>SF-USER-SSO</t>
  </si>
  <si>
    <t>for the SSO it should be 32.66 kWh/m^2/day</t>
  </si>
  <si>
    <t>SSO incident solar resource</t>
  </si>
  <si>
    <t>SF-DERIVED-ADVANTAGE</t>
  </si>
  <si>
    <t>Derived from user resource inputs</t>
  </si>
  <si>
    <t>32.66 / 6.52 = 5.009x</t>
  </si>
  <si>
    <t>Derived</t>
  </si>
  <si>
    <t>SF-USER-FIRM-STORAGE</t>
  </si>
  <si>
    <t>Conversation + local winter analysis</t>
  </si>
  <si>
    <t>solar + batteries should handle consistent power by itself</t>
  </si>
  <si>
    <t>Firm solar+BESS storage duration</t>
  </si>
  <si>
    <t>User-directed model change</t>
  </si>
  <si>
    <t>Medium</t>
  </si>
  <si>
    <t>SF-USER-ENV-FACTOR</t>
  </si>
  <si>
    <t>user defined weather/environment degradation factor for weather/dust/wind etc.</t>
  </si>
  <si>
    <t>User-defined model input</t>
  </si>
  <si>
    <t>SF-USER-SPACE-COST</t>
  </si>
  <si>
    <t>Key Assumptions... Space Array Hardware Cost</t>
  </si>
  <si>
    <t>Space array hardware cost</t>
  </si>
  <si>
    <t>SF-USER-SPACE-LIFE</t>
  </si>
  <si>
    <t>Key Assumptions... Space Useful life at each year</t>
  </si>
  <si>
    <t>SF-USER-SPACE-BATTERY</t>
  </si>
  <si>
    <t>user define Space battery req. as zero</t>
  </si>
  <si>
    <t>SF-SPACE-EFFICIENCY</t>
  </si>
  <si>
    <t>Analyst estimate from NASA/SpaceX context</t>
  </si>
  <si>
    <t>Conversation + NASA SmallSat Power</t>
  </si>
  <si>
    <t>lower efficiency for the space panels since SpaceX mass produces these</t>
  </si>
  <si>
    <t>Space panel net efficiency</t>
  </si>
  <si>
    <t>Analyst estimate</t>
  </si>
  <si>
    <t>SF-ATB-PV</t>
  </si>
  <si>
    <t>NREL ATB 2024b Utility-Scale PV</t>
  </si>
  <si>
    <t>https://atb.nrel.gov/electricity/2024b/utility-scale_pv</t>
  </si>
  <si>
    <t>ATB uses $/kWAC and ILR of 1.34; degradation rates include 0.7%, 0.5%, 0.2%.</t>
  </si>
  <si>
    <t>PV CAPEX, FOM, CF, FCR, degradation</t>
  </si>
  <si>
    <t>Direct dataset + quote</t>
  </si>
  <si>
    <t>SF-DOE-PV</t>
  </si>
  <si>
    <t>DOE PV System Cost Benchmarks</t>
  </si>
  <si>
    <t>https://www.energy.gov/cmei/systems/solar-photovoltaic-system-cost-benchmarks</t>
  </si>
  <si>
    <t>Each module has area 2.57 m2 and rated power 530 watts, corresponding to 20.6%.</t>
  </si>
  <si>
    <t>2026 module area/power/efficiency</t>
  </si>
  <si>
    <t>Direct quote</t>
  </si>
  <si>
    <t>SF-ATB-BESS</t>
  </si>
  <si>
    <t>NREL ATB Utility-Scale Battery Storage</t>
  </si>
  <si>
    <t>https://atb.nrel.gov/electricity/2024/2023/utility-scale_battery_storage</t>
  </si>
  <si>
    <t>A 4-hour device has expected capacity factor 16.7%; ATB assumes round-trip efficiency of 85%.</t>
  </si>
  <si>
    <t>4-hour BESS CAPEX, CFC, O&amp;M, RTE</t>
  </si>
  <si>
    <t>SF-ATB-WIND</t>
  </si>
  <si>
    <t>NREL ATB 2024b Land-Based Wind</t>
  </si>
  <si>
    <t>https://atb.nrel.gov/electricity/2024b/land-based_wind</t>
  </si>
  <si>
    <t>Wind Speed Class 4 is indicative of a moderate-quality wind regime.</t>
  </si>
  <si>
    <t>Wind Class 4 LCOE and CF</t>
  </si>
  <si>
    <t>SF-ATB-HYDRO</t>
  </si>
  <si>
    <t>NREL ATB 2024b Hydropower</t>
  </si>
  <si>
    <t>https://atb.nrel.gov/electricity/2024b/hydropower</t>
  </si>
  <si>
    <t>Capacity factor represents expected annual average energy production divided by rated full output.</t>
  </si>
  <si>
    <t>Hydro LCOE, FOM, CF</t>
  </si>
  <si>
    <t>SF-NASA-POWER</t>
  </si>
  <si>
    <t>NASA SmallSat State of the Art: Power</t>
  </si>
  <si>
    <t>https://www.nasa.gov/smallsat-institute/sst-soa/power-subsystems/</t>
  </si>
  <si>
    <t>Space solar arrays seek lower cost and higher production; cells over 32% have higher cost than terrestrial silicon.</t>
  </si>
  <si>
    <t>Space efficiency, density, qualification context only</t>
  </si>
  <si>
    <t>Direct quote; no dollar cost</t>
  </si>
  <si>
    <t>SF-SPACEX</t>
  </si>
  <si>
    <t>SpaceX Gen2 Starlink Satellites PDF</t>
  </si>
  <si>
    <t>https://www.starlink.com/public-files/Gen2StarlinkSatellites.pdf</t>
  </si>
  <si>
    <t>V2 Mini has four times the capacity; satellites are deorbited within weeks of end of mission.</t>
  </si>
  <si>
    <t>V2 Mini capability and life/deorbit context</t>
  </si>
  <si>
    <t>SF-NSE</t>
  </si>
  <si>
    <t>New Space Economy Starlink manufacturing estimate</t>
  </si>
  <si>
    <t>https://newspaceeconomy.ca/2026/04/13/the-satellite-manufacturing-market-after-starlink-how-mass-production-changed-the-economics-of-building-spacecraft/</t>
  </si>
  <si>
    <t>V2 Mini manufacturing costs have been driven toward approximately $400,000 per unit.</t>
  </si>
  <si>
    <t>Space array cost estimate anchor</t>
  </si>
  <si>
    <t>Third-party estimate</t>
  </si>
  <si>
    <t>SF-MCDOWELL</t>
  </si>
  <si>
    <t>Jonathan McDowell Starlink dimensions/FCC summary</t>
  </si>
  <si>
    <t>https://planet4589.org/astro/starsim/index.html</t>
  </si>
  <si>
    <t>V2 Mini solar array size listed as 4.1 m x 12.8 m.</t>
  </si>
  <si>
    <t>V2 Mini solar array area estimate</t>
  </si>
  <si>
    <t>Third-party/FCC-derived</t>
  </si>
  <si>
    <t>SF-LAZARD</t>
  </si>
  <si>
    <t>Lazard LCOE+ 2025</t>
  </si>
  <si>
    <t>https://www.lazard.com/research-insights/levelized-cost-of-energyplus-lcoeplus/</t>
  </si>
  <si>
    <t>Compares LCOE of onshore wind, utility-scale solar and hybrid projects to marginal cost of conventional generation.</t>
  </si>
  <si>
    <t>Existing proxies and hybrid cross-checks</t>
  </si>
  <si>
    <t>Benchmark source</t>
  </si>
  <si>
    <t>SF-EIA</t>
  </si>
  <si>
    <t>EIA AEO 2026 LCOE</t>
  </si>
  <si>
    <t>https://www.eia.gov/outlooks/aeo/electricity_generation/</t>
  </si>
  <si>
    <t>LCOE is revenue required to build and operate a generator over a cost recovery period.</t>
  </si>
  <si>
    <t>New-build conventional benchmark context</t>
  </si>
  <si>
    <t>SF-ATB-PVBESS</t>
  </si>
  <si>
    <t>NREL ATB 2024b PV+Battery</t>
  </si>
  <si>
    <t>https://atb.nrel.gov/electricity/2024b/data</t>
  </si>
  <si>
    <t>Utility-Scale PV-Plus-Battery Class 1 LCOE benchmark rows retained only as cross-check.</t>
  </si>
  <si>
    <t>PV+BESS benchmark, not driver</t>
  </si>
  <si>
    <t>Direct dataset</t>
  </si>
  <si>
    <t>SF-IRENA/IEA</t>
  </si>
  <si>
    <t>IRENA/IEA China solar context</t>
  </si>
  <si>
    <t>https://www.irena.org/Digital-Report/Renewable-Power-Generation-Costs-in-2024</t>
  </si>
  <si>
    <t>In China, utility-scale solar PV LCOE fell to USD 0.033/kWh in 2024; China comparison is separate.</t>
  </si>
  <si>
    <t>China solar+BESS comparison</t>
  </si>
  <si>
    <t>External benchmark</t>
  </si>
  <si>
    <t>SF-SUNLIGHT</t>
  </si>
  <si>
    <t>Local Sunlight_Analysis.html</t>
  </si>
  <si>
    <t>C:/Users/User/Documents/Web Scripts/Orbital Datacenters/Sunlight_Analysis.html</t>
  </si>
  <si>
    <t>wh += SOLAR_INPUT_W_M2 * access * incidence * transmittance * dtHours</t>
  </si>
  <si>
    <t>Cross-check of user energy geometry</t>
  </si>
  <si>
    <t>Local model source</t>
  </si>
  <si>
    <t>Assumption Audit</t>
  </si>
  <si>
    <t>Cell</t>
  </si>
  <si>
    <t>Assumption</t>
  </si>
  <si>
    <t>Value</t>
  </si>
  <si>
    <t>Fact ID(s)</t>
  </si>
  <si>
    <t>Rationale</t>
  </si>
  <si>
    <t>Derivation</t>
  </si>
  <si>
    <t>Formula</t>
  </si>
  <si>
    <t>I10</t>
  </si>
  <si>
    <t>User-provided revised winter incident resource before efficiencies.</t>
  </si>
  <si>
    <t>K10</t>
  </si>
  <si>
    <t>M10</t>
  </si>
  <si>
    <t>I11</t>
  </si>
  <si>
    <t>User-confirmed SSO incident resource before efficiencies.</t>
  </si>
  <si>
    <t>K11</t>
  </si>
  <si>
    <t>M11</t>
  </si>
  <si>
    <t>Model Detail!C6</t>
  </si>
  <si>
    <t>Solar Power Advantage</t>
  </si>
  <si>
    <t>Current SSO/ground resource ratio after revised winter resource.</t>
  </si>
  <si>
    <t>=SSO incident / ground incident</t>
  </si>
  <si>
    <t>=Model Detail!C7 / Model Detail!C5</t>
  </si>
  <si>
    <t>Model Detail!D6</t>
  </si>
  <si>
    <t>=Model Detail!D7 / Model Detail!D5</t>
  </si>
  <si>
    <t>Model Detail!E6</t>
  </si>
  <si>
    <t>=Model Detail!E7 / Model Detail!E5</t>
  </si>
  <si>
    <t>I12</t>
  </si>
  <si>
    <t>User-defined weather, dust, wind, and site-loss factor.</t>
  </si>
  <si>
    <t>K12</t>
  </si>
  <si>
    <t>M12</t>
  </si>
  <si>
    <t>I13</t>
  </si>
  <si>
    <t>SF-USER-FIRM-STORAGE; SF-SUNLIGHT</t>
  </si>
  <si>
    <t>solar + batteries should handle consistent power by itself | wh += SOLAR_INPUT_W_M2 * access * incidence * transmittance * dtHours</t>
  </si>
  <si>
    <t>Daily-shift storage for 24/7 constant solar+BESS output.</t>
  </si>
  <si>
    <t>=24 - (40% winter solar collection window * 24)</t>
  </si>
  <si>
    <t>K13</t>
  </si>
  <si>
    <t>M13</t>
  </si>
  <si>
    <t>I14</t>
  </si>
  <si>
    <t>SF-USER-SPACE-COST; SF-SPACEX; SF-NSE; SF-MCDOWELL</t>
  </si>
  <si>
    <t>Key Assumptions... Space Array Hardware Cost | V2 Mini has four times the capacity; satellites are deorbited within weeks of end of mission. | V2 Mini manufacturing costs have been driven toward approximately $400,000 per unit. | V2 Mini solar array size listed as 4.1 m x 12.8 m.</t>
  </si>
  <si>
    <t>User-defined best-case array hardware cost, with SpaceX/Starlink context retained.</t>
  </si>
  <si>
    <t>K14</t>
  </si>
  <si>
    <t>M14</t>
  </si>
  <si>
    <t>I15</t>
  </si>
  <si>
    <t>SF-USER-SPACE-LIFE; SF-SPACEX</t>
  </si>
  <si>
    <t>Key Assumptions... Space Useful life at each year | V2 Mini has four times the capacity; satellites are deorbited within weeks of end of mission.</t>
  </si>
  <si>
    <t>User-defined useful life constrained by refresh/deorbit horizon.</t>
  </si>
  <si>
    <t>K15</t>
  </si>
  <si>
    <t>M15</t>
  </si>
  <si>
    <t>I16</t>
  </si>
  <si>
    <t>User-defined SSO base case assumes no battery.</t>
  </si>
  <si>
    <t>K16</t>
  </si>
  <si>
    <t>M16</t>
  </si>
  <si>
    <t>I22</t>
  </si>
  <si>
    <t>Projection endpoint used for each column.</t>
  </si>
  <si>
    <t>Direct/derived year label</t>
  </si>
  <si>
    <t>K22</t>
  </si>
  <si>
    <t>M22</t>
  </si>
  <si>
    <t>I23</t>
  </si>
  <si>
    <t>SF-ATB-PV; SF-DOE-PV</t>
  </si>
  <si>
    <t>ATB uses $/kWAC and ILR of 1.34; degradation rates include 0.7%, 0.5%, 0.2%. | Each module has area 2.57 m2 and rated power 530 watts, corresponding to 20.6%.</t>
  </si>
  <si>
    <t>Converts ATB $/kWac to area basis using ILR and STC efficiency.</t>
  </si>
  <si>
    <t>=ATB CAPEX $/kWac / (ILR / STC efficiency)</t>
  </si>
  <si>
    <t>='Model Detail'!C12</t>
  </si>
  <si>
    <t>K23</t>
  </si>
  <si>
    <t>='Model Detail'!D12</t>
  </si>
  <si>
    <t>M23</t>
  </si>
  <si>
    <t>='Model Detail'!E12</t>
  </si>
  <si>
    <t>I24</t>
  </si>
  <si>
    <t>Converts ATB $/kWac-yr to area basis.</t>
  </si>
  <si>
    <t>=ATB FOM $/kWac-yr / area per kWac</t>
  </si>
  <si>
    <t>='Model Detail'!C14</t>
  </si>
  <si>
    <t>K24</t>
  </si>
  <si>
    <t>='Model Detail'!D14</t>
  </si>
  <si>
    <t>M24</t>
  </si>
  <si>
    <t>='Model Detail'!E14</t>
  </si>
  <si>
    <t>I25</t>
  </si>
  <si>
    <t>SF-DOE-PV; SF-ATB-PV</t>
  </si>
  <si>
    <t>Each module has area 2.57 m2 and rated power 530 watts, corresponding to 20.6%. | ATB uses $/kWAC and ILR of 1.34; degradation rates include 0.7%, 0.5%, 0.2%.</t>
  </si>
  <si>
    <t>2026 direct DOE benchmark; future is analyst estimate from ATB improvement path.</t>
  </si>
  <si>
    <t>Direct for 2026; analyst for future</t>
  </si>
  <si>
    <t>K25</t>
  </si>
  <si>
    <t>M25</t>
  </si>
  <si>
    <t>I26</t>
  </si>
  <si>
    <t>Applies explicit hot-operation derate to STC efficiency.</t>
  </si>
  <si>
    <t>=STC efficiency * temperature derate</t>
  </si>
  <si>
    <t>=I25*I27</t>
  </si>
  <si>
    <t>K26</t>
  </si>
  <si>
    <t>=K25*K27</t>
  </si>
  <si>
    <t>M26</t>
  </si>
  <si>
    <t>=M25*M27</t>
  </si>
  <si>
    <t>I27</t>
  </si>
  <si>
    <t>Explicit hot Arizona temperature derate.</t>
  </si>
  <si>
    <t>K27</t>
  </si>
  <si>
    <t>M27</t>
  </si>
  <si>
    <t>I28</t>
  </si>
  <si>
    <t>ATB degradation rates.</t>
  </si>
  <si>
    <t>Direct/ATB pathway</t>
  </si>
  <si>
    <t>K28</t>
  </si>
  <si>
    <t>M28</t>
  </si>
  <si>
    <t>I29</t>
  </si>
  <si>
    <t>ATB R&amp;D 30-year FCR.</t>
  </si>
  <si>
    <t>K29</t>
  </si>
  <si>
    <t>M29</t>
  </si>
  <si>
    <t>I30</t>
  </si>
  <si>
    <t>ATB 4-hour BESS CAPEX reference for scalable storage cost.</t>
  </si>
  <si>
    <t>K30</t>
  </si>
  <si>
    <t>M30</t>
  </si>
  <si>
    <t>I31</t>
  </si>
  <si>
    <t>ATB 4-hour BESS capital fixed cost reference; firm case scales by duration.</t>
  </si>
  <si>
    <t>K31</t>
  </si>
  <si>
    <t>M31</t>
  </si>
  <si>
    <t>I32</t>
  </si>
  <si>
    <t>ATB 4-hour BESS fixed O&amp;M reference; firm case scales by duration.</t>
  </si>
  <si>
    <t>K32</t>
  </si>
  <si>
    <t>M32</t>
  </si>
  <si>
    <t>I33</t>
  </si>
  <si>
    <t>ATB representative RTE.</t>
  </si>
  <si>
    <t>K33</t>
  </si>
  <si>
    <t>M33</t>
  </si>
  <si>
    <t>I34</t>
  </si>
  <si>
    <t>SF-NASA-POWER; SF-MCDOWELL</t>
  </si>
  <si>
    <t>Space solar arrays seek lower cost and higher production; cells over 32% have higher cost than terrestrial silicon. | V2 Mini solar array size listed as 4.1 m x 12.8 m.</t>
  </si>
  <si>
    <t>Best-case lightweight array density, checked against specific-power context.</t>
  </si>
  <si>
    <t>K34</t>
  </si>
  <si>
    <t>M34</t>
  </si>
  <si>
    <t>I35</t>
  </si>
  <si>
    <t>SF-SPACE-EFFICIENCY; SF-NASA-POWER</t>
  </si>
  <si>
    <t>lower efficiency for the space panels since SpaceX mass produces these | Space solar arrays seek lower cost and higher production; cells over 32% have higher cost than terrestrial silicon.</t>
  </si>
  <si>
    <t>Lowered for mass-produced, cost-optimized SpaceX arrays operating hot in LEO.</t>
  </si>
  <si>
    <t>K35</t>
  </si>
  <si>
    <t>M35</t>
  </si>
  <si>
    <t>I36</t>
  </si>
  <si>
    <t>SF-NASA-POWER; SF-SPACEX</t>
  </si>
  <si>
    <t>Space solar arrays seek lower cost and higher production; cells over 32% have higher cost than terrestrial silicon. | V2 Mini has four times the capacity; satellites are deorbited within weeks of end of mission.</t>
  </si>
  <si>
    <t>Short-life LEO power hardware estimate.</t>
  </si>
  <si>
    <t>K36</t>
  </si>
  <si>
    <t>M36</t>
  </si>
  <si>
    <t>I37</t>
  </si>
  <si>
    <t>SF-ATB-BESS; SF-NASA-POWER</t>
  </si>
  <si>
    <t>A 4-hour device has expected capacity factor 16.7%; ATB assumes round-trip efficiency of 85%. | Space solar arrays seek lower cost and higher production; cells over 32% have higher cost than terrestrial silicon.</t>
  </si>
  <si>
    <t>Unused placeholder while req is zero.</t>
  </si>
  <si>
    <t>Low</t>
  </si>
  <si>
    <t>K37</t>
  </si>
  <si>
    <t>M37</t>
  </si>
  <si>
    <t>TCO Analysis - AI Satellite vs. Terrestrial Datacenter</t>
  </si>
  <si>
    <t>Annualized rack/satellite TCO comparison. User-specific TCO assumptions are intentionally blank; linked power costs flow from the Energy Cost Analysis sheet.</t>
  </si>
  <si>
    <t>Key Assumptions (AI Satellite)</t>
  </si>
  <si>
    <t>AI Satellite IT Power</t>
  </si>
  <si>
    <t>kW</t>
  </si>
  <si>
    <t>User input. Satellite and rack power may differ; results normalize to IT kW.</t>
  </si>
  <si>
    <t>IT Hardware Mass</t>
  </si>
  <si>
    <t>kg</t>
  </si>
  <si>
    <t>User input.</t>
  </si>
  <si>
    <t>Structural/Cooling Mass</t>
  </si>
  <si>
    <t>Bus Components Mass</t>
  </si>
  <si>
    <t>Useful Life of IT Hardware</t>
  </si>
  <si>
    <t>Useful Life of Bus/Cooling</t>
  </si>
  <si>
    <t>User input; used for structural/cooling and bus annualization.</t>
  </si>
  <si>
    <t>Cost of IT Hardware</t>
  </si>
  <si>
    <t>$/sat</t>
  </si>
  <si>
    <t>Cost of Structural/Cooling/Assembly</t>
  </si>
  <si>
    <t>Cost of Bus Components</t>
  </si>
  <si>
    <t>PUE</t>
  </si>
  <si>
    <t>Opex</t>
  </si>
  <si>
    <t>$/yr</t>
  </si>
  <si>
    <t>Starlink Networking Opportunity Cost</t>
  </si>
  <si>
    <t>Launch Cost Assumption</t>
  </si>
  <si>
    <t>User input; included in pie-chart TCO, excluded from breakeven formula.</t>
  </si>
  <si>
    <t>Key Assumptions (Terrestrial Datacenter)</t>
  </si>
  <si>
    <t>Terrestrial Power Source</t>
  </si>
  <si>
    <t>source</t>
  </si>
  <si>
    <t>Nat Gas New Build</t>
  </si>
  <si>
    <t>Dropdown. Selected source drives terrestrial power LCOE.</t>
  </si>
  <si>
    <t>Terrestrial Rack IT Power</t>
  </si>
  <si>
    <t>User input. May differ from satellite IT power.</t>
  </si>
  <si>
    <t>Datacenter Costs</t>
  </si>
  <si>
    <t>$/rack</t>
  </si>
  <si>
    <t>User input; excludes IT hardware and cooling hardware to avoid double-counting.</t>
  </si>
  <si>
    <t>Useful Life of Datacenter</t>
  </si>
  <si>
    <t>Cooling Costs</t>
  </si>
  <si>
    <t>Useful Life of Cooling Hardware</t>
  </si>
  <si>
    <t>Derived / Linked Assumptions</t>
  </si>
  <si>
    <t>Notes / Source</t>
  </si>
  <si>
    <t>Selected Terrestrial Power LCOE</t>
  </si>
  <si>
    <t>Selected by terrestrial power-source dropdown.</t>
  </si>
  <si>
    <t>Space Solar Cost excl. Launch</t>
  </si>
  <si>
    <t>Linked from Energy Cost Analysis row 63.</t>
  </si>
  <si>
    <t>Linked from Energy Cost Analysis row 34.</t>
  </si>
  <si>
    <t>Space Power Useful Life</t>
  </si>
  <si>
    <t>Linked from Energy Cost Analysis row 15.</t>
  </si>
  <si>
    <t>Space Panel Net Efficiency</t>
  </si>
  <si>
    <t>Linked from Energy Cost Analysis row 35.</t>
  </si>
  <si>
    <t>Linked from Energy Cost Analysis row 11.</t>
  </si>
  <si>
    <t>Satellite Facility Power incl. PUE</t>
  </si>
  <si>
    <t>Satellite IT load grossed up by PUE.</t>
  </si>
  <si>
    <t>Satellite Solar Array Area Required</t>
  </si>
  <si>
    <t>m2</t>
  </si>
  <si>
    <t>Average power area from SSO daily incident energy and panel net efficiency.</t>
  </si>
  <si>
    <t>Space Power Hardware Mass</t>
  </si>
  <si>
    <t>Solar-array mass needed for launch mass annualization.</t>
  </si>
  <si>
    <t>Satellite Total Launch Mass</t>
  </si>
  <si>
    <t>IT + structural/cooling + bus + derived power hardware mass.</t>
  </si>
  <si>
    <t>Annualized Launch Mass</t>
  </si>
  <si>
    <t>kg/yr</t>
  </si>
  <si>
    <t>Replacement-rate launch mass; power hardware uses linked space power useful life.</t>
  </si>
  <si>
    <t>Satellite Annual Energy Use</t>
  </si>
  <si>
    <t>kWh/yr</t>
  </si>
  <si>
    <t>Satellite facility power times 8,760.</t>
  </si>
  <si>
    <t>Terrestrial Facility Power incl. PUE</t>
  </si>
  <si>
    <t>Rack IT load grossed up by PUE.</t>
  </si>
  <si>
    <t>Terrestrial Annual Energy Use</t>
  </si>
  <si>
    <t>Terrestrial facility power times 8,760.</t>
  </si>
  <si>
    <t>Satellite Power Cost excl. Launch</t>
  </si>
  <si>
    <t>Uses linked space solar LCOE excluding launch.</t>
  </si>
  <si>
    <t>Terrestrial Selected Power Cost</t>
  </si>
  <si>
    <t>Uses selected terrestrial power-source LCOE.</t>
  </si>
  <si>
    <t>Satellite Launch Cost @ Assumption</t>
  </si>
  <si>
    <t>Included in pie chart TCO only when launch input is filled.</t>
  </si>
  <si>
    <t>Satellite Annual TCO excl. Launch</t>
  </si>
  <si>
    <t>Used for breakeven launch cost; excludes launch assumption.</t>
  </si>
  <si>
    <t>Satellite Annual TCO incl. Launch</t>
  </si>
  <si>
    <t>Shown beside satellite pie charts.</t>
  </si>
  <si>
    <t>Terrestrial Annual TCO</t>
  </si>
  <si>
    <t>Shown beside terrestrial pie charts.</t>
  </si>
  <si>
    <t>Satellite Total Annual TCO incl. Launch</t>
  </si>
  <si>
    <t>Includes launch cost assumption.</t>
  </si>
  <si>
    <t>Satellite TCO incl. Launch</t>
  </si>
  <si>
    <t>$/IT kW-yr</t>
  </si>
  <si>
    <t>Normalized by satellite IT power.</t>
  </si>
  <si>
    <t>$/W-yr</t>
  </si>
  <si>
    <t>Normalized by satellite IT watts.</t>
  </si>
  <si>
    <t>Terrestrial Total Annual TCO</t>
  </si>
  <si>
    <t>Annualized rack/datacenter TCO.</t>
  </si>
  <si>
    <t>Terrestrial TCO</t>
  </si>
  <si>
    <t>Normalized by terrestrial rack IT power.</t>
  </si>
  <si>
    <t>Normalized by terrestrial rack IT watts.</t>
  </si>
  <si>
    <t>Breakeven Launch Cost excl. Launch Assumption (full TCO)</t>
  </si>
  <si>
    <t>Can be negative; compares full annualized terrestrial TCO vs. satellite TCO excluding launch on a normalized IT-kW basis.</t>
  </si>
  <si>
    <t>Satellite Chart Status</t>
  </si>
  <si>
    <t>status</t>
  </si>
  <si>
    <t>Pie chart uses a neutral pending slice until all incl.-launch inputs are filled.</t>
  </si>
  <si>
    <t>Terrestrial Chart Status</t>
  </si>
  <si>
    <t>Pie chart uses a neutral pending slice until all terrestrial inputs are filled.</t>
  </si>
  <si>
    <t>TCO Pie Charts and Total Costs</t>
  </si>
  <si>
    <t>AI Satellite TCO - 2026</t>
  </si>
  <si>
    <t>Terrestrial Datacenter TCO - 2026</t>
  </si>
  <si>
    <t>Total Annual TCO incl. Launch</t>
  </si>
  <si>
    <t>Total Annual TCO</t>
  </si>
  <si>
    <t>$/IT kW-year</t>
  </si>
  <si>
    <t>$/W-year</t>
  </si>
  <si>
    <t>Launch Assumption</t>
  </si>
  <si>
    <t>Power Source</t>
  </si>
  <si>
    <t>Breakeven Launch Cost (full TCO)</t>
  </si>
  <si>
    <t>Power LCOE</t>
  </si>
  <si>
    <t>Status</t>
  </si>
  <si>
    <t>AI Satellite TCO - 2036</t>
  </si>
  <si>
    <t>Terrestrial Datacenter TCO - 2036</t>
  </si>
  <si>
    <t>AI Satellite TCO - 2051</t>
  </si>
  <si>
    <t>Terrestrial Datacenter TCO - 2051</t>
  </si>
  <si>
    <t>TCO Source / Audit Notes</t>
  </si>
  <si>
    <t>User TCO inputs</t>
  </si>
  <si>
    <t>Blank / User-filled</t>
  </si>
  <si>
    <t>Rack/satellite TCO assumptions remain user inputs; existing entries are preserved.</t>
  </si>
  <si>
    <t>Power source dropdown</t>
  </si>
  <si>
    <t>Dropdown</t>
  </si>
  <si>
    <t>Terrestrial Power Source uses an Excel list validation backed by the options table below the dashboard.</t>
  </si>
  <si>
    <t>TCO breakeven</t>
  </si>
  <si>
    <t>Full TCO</t>
  </si>
  <si>
    <t>Breakeven launch can be negative and compares full annualized TCO excluding launch, not power cost alone.</t>
  </si>
  <si>
    <t>TCO chart rebuild</t>
  </si>
  <si>
    <t>Filled years</t>
  </si>
  <si>
    <t>v013 rebuilds all 2026/2036/2051 TCO pie source ranges from current filled assumptions.</t>
  </si>
  <si>
    <t>TCO Chart Source Data</t>
  </si>
  <si>
    <t>2026 LCOE</t>
  </si>
  <si>
    <t>2036 LCOE</t>
  </si>
  <si>
    <t>2051 LCOE</t>
  </si>
  <si>
    <t>Cheapest New Build (US)</t>
  </si>
  <si>
    <t>Category</t>
  </si>
  <si>
    <t>Annual Cost</t>
  </si>
  <si>
    <t>Cheapest Existing (US)</t>
  </si>
  <si>
    <t>IT Hardware</t>
  </si>
  <si>
    <t>Nuclear Existing</t>
  </si>
  <si>
    <t>Struct/Cooling</t>
  </si>
  <si>
    <t>Datacenter Facility</t>
  </si>
  <si>
    <t>Nuclear New Build</t>
  </si>
  <si>
    <t>Bus Components</t>
  </si>
  <si>
    <t>Cooling Hardware</t>
  </si>
  <si>
    <t>Nat Gas Existing</t>
  </si>
  <si>
    <t>Space Power</t>
  </si>
  <si>
    <t>Coal Existing</t>
  </si>
  <si>
    <t>Networking Opp.</t>
  </si>
  <si>
    <t>Coal New Build</t>
  </si>
  <si>
    <t>Launch Costs Ex. Power</t>
  </si>
  <si>
    <t>Wind Existing</t>
  </si>
  <si>
    <t>Wind New Build</t>
  </si>
  <si>
    <t>Wind + 4h Battery New Build</t>
  </si>
  <si>
    <t>Hydro Existing</t>
  </si>
  <si>
    <t>Hydro New Build</t>
  </si>
  <si>
    <t>Ground Solar (Arizona) New Build</t>
  </si>
  <si>
    <t>Ground Solar + Firm Battery (Arizona) New Build</t>
  </si>
  <si>
    <t>China Solar+BESS (separate)</t>
  </si>
  <si>
    <t>Revenue and Profit - Per Watt-Year Scenario Model</t>
  </si>
  <si>
    <t>Blank yellow cells are user inputs. Derived outputs stay pending until required assumptions are filled. All margins are net margins.</t>
  </si>
  <si>
    <t>Linked Cost Input</t>
  </si>
  <si>
    <t>Linked from TCO Analysis: satellite TCO incl. launch.</t>
  </si>
  <si>
    <t>Linked from TCO Analysis: terrestrial datacenter TCO.</t>
  </si>
  <si>
    <t>Terrestrial IT Hardware Cost</t>
  </si>
  <si>
    <t>Annualized terrestrial IT hardware cost divided by rack IT watts.</t>
  </si>
  <si>
    <t>Selected power source from TCO Analysis.</t>
  </si>
  <si>
    <t>Output Basis</t>
  </si>
  <si>
    <t>basis</t>
  </si>
  <si>
    <t>per watt-year</t>
  </si>
  <si>
    <t>All revenue, expense, and profit rows are shown per watt-year.</t>
  </si>
  <si>
    <t>xAI + Space Datacenter vs Frontier Lab + Hyperscaler</t>
  </si>
  <si>
    <t>Assumption / Metric</t>
  </si>
  <si>
    <t>Frontier Lab Net Margin</t>
  </si>
  <si>
    <t>User input; net margin, not gross margin.</t>
  </si>
  <si>
    <t>Cloud Provider Net Margin</t>
  </si>
  <si>
    <t>xAI Revenue Multiplier vs Frontier Lab</t>
  </si>
  <si>
    <t>Ready once all section inputs are filled and margins are below 100%.</t>
  </si>
  <si>
    <t>Cloud Inference Price</t>
  </si>
  <si>
    <t>Price paid by the frontier lab to the hyperscaler/cloud provider.</t>
  </si>
  <si>
    <t>Frontier Lab Revenue</t>
  </si>
  <si>
    <t>End-customer frontier lab revenue after paying hyperscaler/cloud costs and lab net margin.</t>
  </si>
  <si>
    <t>Frontier Lab Expense</t>
  </si>
  <si>
    <t>Inference spend paid to hyperscaler/cloud provider.</t>
  </si>
  <si>
    <t>Frontier Lab Profit</t>
  </si>
  <si>
    <t>Revenue less inference spend.</t>
  </si>
  <si>
    <t>xAI + Space Datacenter Revenue</t>
  </si>
  <si>
    <t>xAI + Space Datacenter Expense</t>
  </si>
  <si>
    <t>Satellite TCO incl. launch.</t>
  </si>
  <si>
    <t>xAI + Space Datacenter Profit</t>
  </si>
  <si>
    <t>Revenue less satellite TCO.</t>
  </si>
  <si>
    <t>xAI + Space Datacenter Profit Advantage</t>
  </si>
  <si>
    <t>xAI profit less frontier lab profit.</t>
  </si>
  <si>
    <t>xAI + Space Datacenter vs Surveillance Network Space Datacenter</t>
  </si>
  <si>
    <t>Surveillance Revenue Multiplier vs xAI</t>
  </si>
  <si>
    <t>User input; surveillance network revenue per W-year vs xAI.</t>
  </si>
  <si>
    <t>Ready once Section 1 and surveillance multiplier are filled.</t>
  </si>
  <si>
    <t>Reuses Section 1 xAI revenue.</t>
  </si>
  <si>
    <t>Reuses Section 1 xAI profit.</t>
  </si>
  <si>
    <t>Surveillance Network Revenue</t>
  </si>
  <si>
    <t>xAI revenue times surveillance revenue multiplier.</t>
  </si>
  <si>
    <t>Surveillance Network Expense</t>
  </si>
  <si>
    <t>Surveillance Network Profit</t>
  </si>
  <si>
    <t>Surveillance Profit Advantage</t>
  </si>
  <si>
    <t>Surveillance profit less xAI profit.</t>
  </si>
  <si>
    <t>3. xAI + Custom Silicon vs Cloud Provider (Nvidia COGS)</t>
  </si>
  <si>
    <t>User input; cloud provider net margin.</t>
  </si>
  <si>
    <t>Nvidia Net Margin</t>
  </si>
  <si>
    <t>User input; Nvidia net margin.</t>
  </si>
  <si>
    <t>Custom Silicon Revenue-per-IT-Cost Multiplier</t>
  </si>
  <si>
    <t>User input; custom silicon revenue per IT-cost dollar vs Nvidia.</t>
  </si>
  <si>
    <t>Ready once section inputs are filled and margins are below 100%.</t>
  </si>
  <si>
    <t>Cloud Provider Revenue</t>
  </si>
  <si>
    <t>Supplier-inclusive terrestrial TCO grossed up by cloud provider net margin.</t>
  </si>
  <si>
    <t>Cloud Provider Profit at Selected Margin</t>
  </si>
  <si>
    <t>Cloud profit equals cloud revenue times the selected cloud provider net margin.</t>
  </si>
  <si>
    <t>Nvidia Hardware Spend</t>
  </si>
  <si>
    <t>Annualized terrestrial IT hardware cost per W-year.</t>
  </si>
  <si>
    <t>Nvidia Margin Burden</t>
  </si>
  <si>
    <t>Nvidia net margin embedded in hardware spend; raises the market revenue benchmark.</t>
  </si>
  <si>
    <t>Cloud Provider Profit</t>
  </si>
  <si>
    <t>Cloud provider profit using the selected cloud net margin.</t>
  </si>
  <si>
    <t>Cloud Provider Expense incl. Nvidia</t>
  </si>
  <si>
    <t>Terrestrial TCO plus Nvidia margin burden.</t>
  </si>
  <si>
    <t>xAI Custom Silicon Revenue</t>
  </si>
  <si>
    <t>Supplier-inclusive cloud revenue times custom silicon revenue-per-IT-cost multiplier.</t>
  </si>
  <si>
    <t>xAI Custom Silicon Expense</t>
  </si>
  <si>
    <t>xAI Custom Silicon Profit</t>
  </si>
  <si>
    <t>xAI Custom Profit Advantage vs Cloud</t>
  </si>
  <si>
    <t>xAI custom-silicon profit less cloud-provider profit.</t>
  </si>
  <si>
    <t>4. SpaceX Full Stack vs Cloud Provider (Nvidia + TSMC COGS)</t>
  </si>
  <si>
    <t>TSMC Net Margin</t>
  </si>
  <si>
    <t>User input; TSMC net margin.</t>
  </si>
  <si>
    <t>SpaceX Revenue-per-IT-Cost Multiplier</t>
  </si>
  <si>
    <t>User input; SpaceX revenue per IT-cost dollar, same type of multiplier as Section 3.</t>
  </si>
  <si>
    <t>TSMC Revenue Proxy</t>
  </si>
  <si>
    <t>Nvidia post-margin expense used as the TSMC-stage revenue proxy.</t>
  </si>
  <si>
    <t>TSMC Margin Burden</t>
  </si>
  <si>
    <t>TSMC net margin embedded in the silicon supply chain; raises the market revenue benchmark.</t>
  </si>
  <si>
    <t>Cloud Provider Expense incl. Nvidia + TSMC</t>
  </si>
  <si>
    <t>Terrestrial TCO plus Nvidia and TSMC margin burdens.</t>
  </si>
  <si>
    <t>SpaceX Full-Stack Revenue</t>
  </si>
  <si>
    <t>Supplier-inclusive cloud revenue times SpaceX revenue-per-IT-cost multiplier.</t>
  </si>
  <si>
    <t>SpaceX Full-Stack Expense</t>
  </si>
  <si>
    <t>SpaceX Full-Stack Profit</t>
  </si>
  <si>
    <t>SpaceX Profit Advantage vs Cloud</t>
  </si>
  <si>
    <t>SpaceX full-stack profit less cloud-provider profit.</t>
  </si>
  <si>
    <t>Chart Helper Data</t>
  </si>
  <si>
    <t>Scenario</t>
  </si>
  <si>
    <t>Revenue</t>
  </si>
  <si>
    <t>Expense</t>
  </si>
  <si>
    <t>Profit</t>
  </si>
  <si>
    <t>Loss</t>
  </si>
  <si>
    <t>2026 xAI + Space DC</t>
  </si>
  <si>
    <t>2026 Frontier Lab</t>
  </si>
  <si>
    <t>2026 Surveillance</t>
  </si>
  <si>
    <t>2036 xAI + Space DC</t>
  </si>
  <si>
    <t>2036 Frontier Lab</t>
  </si>
  <si>
    <t>2036 Surveillance</t>
  </si>
  <si>
    <t>2051 xAI + Space DC</t>
  </si>
  <si>
    <t>2051 Frontier Lab</t>
  </si>
  <si>
    <t>2051 Surveillance</t>
  </si>
  <si>
    <t>2026 xAI Custom</t>
  </si>
  <si>
    <t>2026 SpaceX</t>
  </si>
  <si>
    <t>2026 Cloud Provider</t>
  </si>
  <si>
    <t>2036 xAI Custom</t>
  </si>
  <si>
    <t>2036 SpaceX</t>
  </si>
  <si>
    <t>2036 Cloud Provider</t>
  </si>
  <si>
    <t>2051 xAI Custom</t>
  </si>
  <si>
    <t>2051 SpaceX</t>
  </si>
  <si>
    <t>2051 Cloud Provider</t>
  </si>
  <si>
    <t>User input; net margin for hyperscaler/cloud provider. It affects the frontier lab revenue benchmark, but xAI still does not pay hyperscaler expense.</t>
  </si>
  <si>
    <t>User input; xAI revenue per W-year vs frontier lab revenue after hyperscaler/cloud markup.</t>
  </si>
  <si>
    <t>xAI revenue equals frontier lab revenue times the xAI multiplier; hyperscaler margin affects market revenue, not xAI expense.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</si>
</sst>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"/>
    <numFmt numFmtId="165" formatCode="0.0"/>
    <numFmt numFmtId="166" formatCode="\$0.00"/>
    <numFmt numFmtId="167" formatCode="0.0%"/>
    <numFmt numFmtId="168" formatCode="\$#,##0.00"/>
    <numFmt numFmtId="169" formatCode="\$#,##0"/>
    <numFmt numFmtId="170" formatCode="\$0.000"/>
    <numFmt numFmtId="171" formatCode="#,##0.0"/>
    <numFmt numFmtId="172" formatCode="\$0"/>
    <numFmt numFmtId="173" formatCode="0.00\x"/>
    <numFmt numFmtId="174" formatCode="&quot;$&quot;#,##0;[Red]\(&quot;$&quot;#,##0\);\-"/>
  </numFmts>
  <fonts count="24" x14ac:knownFonts="1">
    <font>
      <sz val="11"/>
      <color theme="1"/>
      <name val="Aptos Narrow"/>
    </font>
    <font>
      <sz val="10"/>
      <color theme="1"/>
      <name val="Aptos"/>
    </font>
    <font>
      <sz val="11"/>
      <color rgb="FFFFFFFF"/>
      <name val="Aptos Narrow"/>
    </font>
    <font>
      <sz val="10"/>
      <color rgb="FFFFFFFF"/>
      <name val="Aptos"/>
    </font>
    <font>
      <sz val="9"/>
      <color theme="1"/>
      <name val="Aptos"/>
    </font>
    <font>
      <b/>
      <sz val="12"/>
      <color rgb="FFFFFF00"/>
      <name val="Aptos"/>
    </font>
    <font>
      <i/>
      <sz val="10"/>
      <color rgb="FF4B5563"/>
      <name val="Aptos"/>
    </font>
    <font>
      <b/>
      <sz val="10"/>
      <color rgb="FFFFFF00"/>
      <name val="Aptos"/>
    </font>
    <font>
      <sz val="10"/>
      <color rgb="FF111111"/>
      <name val="Aptos"/>
    </font>
    <font>
      <b/>
      <sz val="10"/>
      <color rgb="FF111111"/>
      <name val="Aptos"/>
    </font>
    <font>
      <sz val="10"/>
      <color rgb="FF111111"/>
      <name val="Aptos"/>
    </font>
    <font>
      <sz val="9"/>
      <color rgb="FF111111"/>
      <name val="Aptos"/>
    </font>
    <font>
      <b/>
      <sz val="9"/>
      <color rgb="FF111111"/>
      <name val="Aptos"/>
    </font>
    <font>
      <b/>
      <sz val="15"/>
      <color rgb="FFFFFF00"/>
      <name val="Aptos"/>
    </font>
    <font>
      <i/>
      <sz val="10"/>
      <color rgb="FF111111"/>
      <name val="Aptos"/>
    </font>
    <font>
      <sz val="9"/>
      <color rgb="FF111111"/>
      <name val="Aptos Narrow"/>
    </font>
    <font>
      <b/>
      <sz val="11"/>
      <color rgb="FFFFFF00"/>
      <name val="Aptos Narrow"/>
    </font>
    <font>
      <b/>
      <sz val="9"/>
      <color rgb="FFFFFF00"/>
      <name val="Aptos Narrow"/>
    </font>
    <font>
      <sz val="11"/>
      <color rgb="FF151515"/>
      <name val="Aptos Narrow"/>
    </font>
    <font>
      <sz val="10"/>
      <color rgb="FF0000FF"/>
      <name val="Aptos Narrow"/>
    </font>
    <font>
      <sz val="10"/>
      <color rgb="FF111111"/>
      <name val="Aptos Narrow"/>
    </font>
    <font>
      <b/>
      <sz val="10"/>
      <color rgb="FFFFFF00"/>
      <name val="Aptos Narrow"/>
    </font>
    <font>
      <i/>
      <sz val="10"/>
      <color rgb="FF111111"/>
      <name val="Aptos Narrow"/>
    </font>
    <font>
      <b/>
      <sz val="10"/>
      <color rgb="FF111111"/>
      <name val="Aptos Narrow"/>
    </font>
  </fonts>
  <fills count="36">
    <fill>
      <patternFill patternType="none"/>
    </fill>
    <fill>
      <patternFill patternType="gray125"/>
    </fill>
    <fill>
      <patternFill patternType="solid">
        <fgColor rgb="FF171717"/>
      </patternFill>
    </fill>
    <fill>
      <patternFill patternType="solid">
        <fgColor rgb="FFE7EAEC"/>
      </patternFill>
    </fill>
    <fill>
      <patternFill patternType="solid">
        <fgColor rgb="FFF2F4F5"/>
      </patternFill>
    </fill>
    <fill>
      <patternFill patternType="solid">
        <fgColor rgb="FFFFFFFF"/>
      </patternFill>
    </fill>
    <fill>
      <patternFill patternType="solid">
        <fgColor rgb="FFFFF9A6"/>
      </patternFill>
    </fill>
    <fill>
      <patternFill patternType="solid">
        <fgColor rgb="FF171717"/>
      </patternFill>
    </fill>
    <fill>
      <patternFill patternType="solid">
        <fgColor rgb="FF171717"/>
      </patternFill>
    </fill>
    <fill>
      <patternFill patternType="solid">
        <fgColor rgb="FF151515"/>
      </patternFill>
    </fill>
    <fill>
      <patternFill patternType="solid">
        <fgColor rgb="FF101010"/>
      </patternFill>
    </fill>
    <fill>
      <patternFill patternType="solid">
        <fgColor rgb="FFE9EEF2"/>
      </patternFill>
    </fill>
    <fill>
      <patternFill patternType="solid">
        <fgColor rgb="FFF4F6F7"/>
      </patternFill>
    </fill>
    <fill>
      <patternFill patternType="solid">
        <fgColor rgb="FFE7ECEF"/>
      </patternFill>
    </fill>
    <fill>
      <patternFill patternType="solid">
        <fgColor rgb="FFFFF49A"/>
      </patternFill>
    </fill>
    <fill>
      <patternFill patternType="solid">
        <fgColor rgb="FFFFF7A6"/>
      </patternFill>
    </fill>
    <fill>
      <patternFill patternType="solid">
        <fgColor rgb="FF101010"/>
      </patternFill>
    </fill>
    <fill>
      <patternFill patternType="solid">
        <fgColor rgb="FFE7ECEF"/>
      </patternFill>
    </fill>
    <fill>
      <patternFill patternType="solid">
        <fgColor rgb="FFF4F6F7"/>
      </patternFill>
    </fill>
    <fill>
      <patternFill patternType="solid">
        <fgColor rgb="FFFFF7A6"/>
      </patternFill>
    </fill>
    <fill>
      <patternFill patternType="solid">
        <fgColor rgb="FF151515"/>
      </patternFill>
    </fill>
    <fill>
      <patternFill patternType="solid">
        <fgColor rgb="FFF4F6F7"/>
      </patternFill>
    </fill>
    <fill>
      <patternFill patternType="solid">
        <fgColor rgb="FF101010"/>
      </patternFill>
    </fill>
    <fill>
      <patternFill patternType="solid">
        <fgColor rgb="FFFFF7A6"/>
      </patternFill>
    </fill>
    <fill>
      <patternFill patternType="solid">
        <fgColor rgb="FF101010"/>
      </patternFill>
    </fill>
    <fill>
      <patternFill patternType="solid">
        <fgColor rgb="FFF4F6F7"/>
      </patternFill>
    </fill>
    <fill>
      <patternFill patternType="solid">
        <fgColor rgb="FF151515"/>
      </patternFill>
    </fill>
    <fill>
      <patternFill patternType="solid">
        <fgColor rgb="FF101010"/>
      </patternFill>
    </fill>
    <fill>
      <patternFill patternType="solid">
        <fgColor rgb="FFE9EEF2"/>
      </patternFill>
    </fill>
    <fill>
      <patternFill patternType="solid">
        <fgColor rgb="FFF4F6F7"/>
      </patternFill>
    </fill>
    <fill>
      <patternFill patternType="solid">
        <fgColor rgb="FFE7ECEF"/>
      </patternFill>
    </fill>
    <fill>
      <patternFill patternType="solid">
        <fgColor rgb="FFFFF7A6"/>
      </patternFill>
    </fill>
    <fill>
      <patternFill patternType="solid">
        <fgColor rgb="FFFFF49A"/>
      </patternFill>
    </fill>
    <fill>
      <patternFill patternType="solid">
        <fgColor rgb="FF101010"/>
      </patternFill>
    </fill>
    <fill>
      <patternFill patternType="solid">
        <fgColor rgb="FFF4F6F7"/>
      </patternFill>
    </fill>
    <fill>
      <patternFill patternType="solid">
        <fgColor rgb="FF101010"/>
      </patternFill>
    </fill>
  </fills>
  <borders count="22">
    <border>
      <left/>
      <right/>
      <top/>
      <bottom/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CDD2D6"/>
      </left>
      <right/>
      <top style="thin">
        <color rgb="FFCDD2D6"/>
      </top>
      <bottom/>
      <diagonal/>
    </border>
    <border>
      <left/>
      <right/>
      <top style="thin">
        <color rgb="FFCDD2D6"/>
      </top>
      <bottom/>
      <diagonal/>
    </border>
    <border>
      <left style="thin">
        <color rgb="FFCDD2D6"/>
      </left>
      <right/>
      <top/>
      <bottom style="thin">
        <color rgb="FFCDD2D6"/>
      </bottom>
      <diagonal/>
    </border>
    <border>
      <left/>
      <right/>
      <top/>
      <bottom style="thin">
        <color rgb="FFCDD2D6"/>
      </bottom>
      <diagonal/>
    </border>
    <border>
      <left style="thin">
        <color rgb="FF4B4B22"/>
      </left>
      <right style="thin">
        <color rgb="FF4B4B22"/>
      </right>
      <top style="thin">
        <color rgb="FF4B4B22"/>
      </top>
      <bottom style="thin">
        <color rgb="FF4B4B22"/>
      </bottom>
      <diagonal/>
    </border>
    <border>
      <left style="thin">
        <color rgb="FFCDD2D6"/>
      </left>
      <right style="thin">
        <color rgb="FFCDD2D6"/>
      </right>
      <top style="thin">
        <color rgb="FFCDD2D6"/>
      </top>
      <bottom style="thin">
        <color rgb="FFCDD2D6"/>
      </bottom>
      <diagonal/>
    </border>
    <border>
      <left style="thin">
        <color rgb="FFD6C900"/>
      </left>
      <right style="thin">
        <color rgb="FFD6C900"/>
      </right>
      <top style="thin">
        <color rgb="FFD6C900"/>
      </top>
      <bottom style="thin">
        <color rgb="FFD6C900"/>
      </bottom>
      <diagonal/>
    </border>
    <border>
      <left style="thin">
        <color rgb="FF171717"/>
      </left>
      <right/>
      <top style="thin">
        <color rgb="FF171717"/>
      </top>
      <bottom/>
      <diagonal/>
    </border>
    <border>
      <left/>
      <right/>
      <top style="thin">
        <color rgb="FF171717"/>
      </top>
      <bottom/>
      <diagonal/>
    </border>
    <border>
      <left/>
      <right style="thin">
        <color rgb="FF171717"/>
      </right>
      <top style="thin">
        <color rgb="FF171717"/>
      </top>
      <bottom/>
      <diagonal/>
    </border>
    <border>
      <left style="thin">
        <color rgb="FF171717"/>
      </left>
      <right/>
      <top/>
      <bottom/>
      <diagonal/>
    </border>
    <border>
      <left/>
      <right style="thin">
        <color rgb="FF171717"/>
      </right>
      <top/>
      <bottom/>
      <diagonal/>
    </border>
    <border>
      <left style="thin">
        <color rgb="FF171717"/>
      </left>
      <right/>
      <top/>
      <bottom style="thin">
        <color rgb="FF171717"/>
      </bottom>
      <diagonal/>
    </border>
    <border>
      <left/>
      <right/>
      <top/>
      <bottom style="thin">
        <color rgb="FF171717"/>
      </bottom>
      <diagonal/>
    </border>
    <border>
      <left/>
      <right style="thin">
        <color rgb="FF171717"/>
      </right>
      <top/>
      <bottom style="thin">
        <color rgb="FF171717"/>
      </bottom>
      <diagonal/>
    </border>
    <border>
      <left style="thin">
        <color rgb="FFCDD2D6"/>
      </left>
      <right/>
      <top/>
      <bottom/>
      <diagonal/>
    </border>
    <border>
      <left style="thin">
        <color rgb="FF4B4B22"/>
      </left>
      <right/>
      <top/>
      <bottom/>
      <diagonal/>
    </border>
    <border>
      <left style="thin">
        <color rgb="FFFFFF00"/>
      </left>
      <right/>
      <top/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/>
    <xf numFmtId="0" fontId="3" fillId="0" borderId="0" xfId="0" applyNumberFormat="1" applyFont="1" applyFill="1" applyBorder="1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wrapText="1"/>
    </xf>
    <xf numFmtId="0" fontId="6" fillId="3" borderId="4" xfId="0" applyNumberFormat="1" applyFont="1" applyFill="1" applyBorder="1" applyAlignment="1">
      <alignment vertical="center" wrapText="1"/>
    </xf>
    <xf numFmtId="0" fontId="6" fillId="3" borderId="5" xfId="0" applyNumberFormat="1" applyFont="1" applyFill="1" applyBorder="1" applyAlignment="1">
      <alignment vertical="center" wrapText="1"/>
    </xf>
    <xf numFmtId="0" fontId="6" fillId="3" borderId="6" xfId="0" applyNumberFormat="1" applyFont="1" applyFill="1" applyBorder="1" applyAlignment="1">
      <alignment vertical="center" wrapText="1"/>
    </xf>
    <xf numFmtId="0" fontId="6" fillId="3" borderId="7" xfId="0" applyNumberFormat="1" applyFont="1" applyFill="1" applyBorder="1" applyAlignment="1">
      <alignment vertical="center" wrapText="1"/>
    </xf>
    <xf numFmtId="0" fontId="7" fillId="2" borderId="8" xfId="0" applyNumberFormat="1" applyFont="1" applyFill="1" applyBorder="1" applyAlignment="1">
      <alignment horizontal="center" vertical="center" wrapText="1"/>
    </xf>
    <xf numFmtId="0" fontId="8" fillId="4" borderId="9" xfId="0" applyNumberFormat="1" applyFont="1" applyFill="1" applyBorder="1" applyAlignment="1">
      <alignment vertical="center" wrapText="1"/>
    </xf>
    <xf numFmtId="164" fontId="8" fillId="4" borderId="9" xfId="0" applyNumberFormat="1" applyFont="1" applyFill="1" applyBorder="1" applyAlignment="1">
      <alignment vertical="center" wrapText="1"/>
    </xf>
    <xf numFmtId="166" fontId="8" fillId="4" borderId="9" xfId="0" applyNumberFormat="1" applyFont="1" applyFill="1" applyBorder="1" applyAlignment="1">
      <alignment vertical="center" wrapText="1"/>
    </xf>
    <xf numFmtId="167" fontId="8" fillId="4" borderId="9" xfId="0" applyNumberFormat="1" applyFont="1" applyFill="1" applyBorder="1" applyAlignment="1">
      <alignment vertical="center" wrapText="1"/>
    </xf>
    <xf numFmtId="168" fontId="8" fillId="4" borderId="9" xfId="0" applyNumberFormat="1" applyFont="1" applyFill="1" applyBorder="1" applyAlignment="1">
      <alignment vertical="center" wrapText="1"/>
    </xf>
    <xf numFmtId="169" fontId="8" fillId="4" borderId="9" xfId="0" applyNumberFormat="1" applyFont="1" applyFill="1" applyBorder="1" applyAlignment="1">
      <alignment vertical="center" wrapText="1"/>
    </xf>
    <xf numFmtId="170" fontId="8" fillId="4" borderId="9" xfId="0" applyNumberFormat="1" applyFont="1" applyFill="1" applyBorder="1" applyAlignment="1">
      <alignment vertical="center" wrapText="1"/>
    </xf>
    <xf numFmtId="0" fontId="8" fillId="3" borderId="9" xfId="0" applyNumberFormat="1" applyFont="1" applyFill="1" applyBorder="1" applyAlignment="1">
      <alignment vertical="center" wrapText="1"/>
    </xf>
    <xf numFmtId="164" fontId="8" fillId="3" borderId="9" xfId="0" applyNumberFormat="1" applyFont="1" applyFill="1" applyBorder="1" applyAlignment="1">
      <alignment vertical="center" wrapText="1"/>
    </xf>
    <xf numFmtId="165" fontId="8" fillId="3" borderId="9" xfId="0" applyNumberFormat="1" applyFont="1" applyFill="1" applyBorder="1" applyAlignment="1">
      <alignment vertical="center" wrapText="1"/>
    </xf>
    <xf numFmtId="1" fontId="8" fillId="3" borderId="9" xfId="0" applyNumberFormat="1" applyFont="1" applyFill="1" applyBorder="1" applyAlignment="1">
      <alignment vertical="center" wrapText="1"/>
    </xf>
    <xf numFmtId="166" fontId="8" fillId="3" borderId="9" xfId="0" applyNumberFormat="1" applyFont="1" applyFill="1" applyBorder="1" applyAlignment="1">
      <alignment vertical="center" wrapText="1"/>
    </xf>
    <xf numFmtId="167" fontId="8" fillId="3" borderId="9" xfId="0" applyNumberFormat="1" applyFont="1" applyFill="1" applyBorder="1" applyAlignment="1">
      <alignment vertical="center" wrapText="1"/>
    </xf>
    <xf numFmtId="168" fontId="8" fillId="3" borderId="9" xfId="0" applyNumberFormat="1" applyFont="1" applyFill="1" applyBorder="1" applyAlignment="1">
      <alignment vertical="center" wrapText="1"/>
    </xf>
    <xf numFmtId="2" fontId="8" fillId="3" borderId="9" xfId="0" applyNumberFormat="1" applyFont="1" applyFill="1" applyBorder="1" applyAlignment="1">
      <alignment vertical="center" wrapText="1"/>
    </xf>
    <xf numFmtId="170" fontId="8" fillId="3" borderId="9" xfId="0" applyNumberFormat="1" applyFont="1" applyFill="1" applyBorder="1" applyAlignment="1">
      <alignment vertical="center" wrapText="1"/>
    </xf>
    <xf numFmtId="164" fontId="8" fillId="5" borderId="9" xfId="0" applyNumberFormat="1" applyFont="1" applyFill="1" applyBorder="1" applyAlignment="1">
      <alignment horizontal="right" vertical="center" wrapText="1"/>
    </xf>
    <xf numFmtId="165" fontId="8" fillId="5" borderId="9" xfId="0" applyNumberFormat="1" applyFont="1" applyFill="1" applyBorder="1" applyAlignment="1">
      <alignment horizontal="right" vertical="center" wrapText="1"/>
    </xf>
    <xf numFmtId="166" fontId="8" fillId="5" borderId="9" xfId="0" applyNumberFormat="1" applyFont="1" applyFill="1" applyBorder="1" applyAlignment="1">
      <alignment horizontal="right" vertical="center" wrapText="1"/>
    </xf>
    <xf numFmtId="0" fontId="8" fillId="5" borderId="9" xfId="0" applyNumberFormat="1" applyFont="1" applyFill="1" applyBorder="1" applyAlignment="1">
      <alignment horizontal="right" vertical="center" wrapText="1"/>
    </xf>
    <xf numFmtId="1" fontId="8" fillId="5" borderId="9" xfId="0" applyNumberFormat="1" applyFont="1" applyFill="1" applyBorder="1" applyAlignment="1">
      <alignment horizontal="right" vertical="center" wrapText="1"/>
    </xf>
    <xf numFmtId="167" fontId="8" fillId="5" borderId="9" xfId="0" applyNumberFormat="1" applyFont="1" applyFill="1" applyBorder="1" applyAlignment="1">
      <alignment horizontal="right" vertical="center" wrapText="1"/>
    </xf>
    <xf numFmtId="168" fontId="8" fillId="5" borderId="9" xfId="0" applyNumberFormat="1" applyFont="1" applyFill="1" applyBorder="1" applyAlignment="1">
      <alignment horizontal="right" vertical="center" wrapText="1"/>
    </xf>
    <xf numFmtId="2" fontId="8" fillId="5" borderId="9" xfId="0" applyNumberFormat="1" applyFont="1" applyFill="1" applyBorder="1" applyAlignment="1">
      <alignment horizontal="right" vertical="center" wrapText="1"/>
    </xf>
    <xf numFmtId="169" fontId="8" fillId="5" borderId="9" xfId="0" applyNumberFormat="1" applyFont="1" applyFill="1" applyBorder="1" applyAlignment="1">
      <alignment horizontal="right" vertical="center" wrapText="1"/>
    </xf>
    <xf numFmtId="170" fontId="8" fillId="5" borderId="9" xfId="0" applyNumberFormat="1" applyFont="1" applyFill="1" applyBorder="1" applyAlignment="1">
      <alignment horizontal="right" vertical="center" wrapText="1"/>
    </xf>
    <xf numFmtId="0" fontId="9" fillId="6" borderId="10" xfId="0" applyNumberFormat="1" applyFont="1" applyFill="1" applyBorder="1" applyAlignment="1">
      <alignment vertical="center" wrapText="1"/>
    </xf>
    <xf numFmtId="170" fontId="9" fillId="6" borderId="10" xfId="0" applyNumberFormat="1" applyFont="1" applyFill="1" applyBorder="1" applyAlignment="1">
      <alignment vertical="center" wrapText="1"/>
    </xf>
    <xf numFmtId="169" fontId="9" fillId="6" borderId="10" xfId="0" applyNumberFormat="1" applyFont="1" applyFill="1" applyBorder="1" applyAlignment="1">
      <alignment vertical="center" wrapText="1"/>
    </xf>
    <xf numFmtId="49" fontId="9" fillId="6" borderId="10" xfId="0" applyNumberFormat="1" applyFont="1" applyFill="1" applyBorder="1" applyAlignment="1">
      <alignment vertical="center" wrapText="1"/>
    </xf>
    <xf numFmtId="0" fontId="3" fillId="2" borderId="0" xfId="0" applyNumberFormat="1" applyFont="1" applyFill="1" applyBorder="1"/>
    <xf numFmtId="0" fontId="3" fillId="2" borderId="11" xfId="0" applyNumberFormat="1" applyFont="1" applyFill="1" applyBorder="1"/>
    <xf numFmtId="0" fontId="3" fillId="2" borderId="12" xfId="0" applyNumberFormat="1" applyFont="1" applyFill="1" applyBorder="1"/>
    <xf numFmtId="0" fontId="3" fillId="2" borderId="13" xfId="0" applyNumberFormat="1" applyFont="1" applyFill="1" applyBorder="1"/>
    <xf numFmtId="0" fontId="3" fillId="2" borderId="14" xfId="0" applyNumberFormat="1" applyFont="1" applyFill="1" applyBorder="1"/>
    <xf numFmtId="0" fontId="3" fillId="2" borderId="15" xfId="0" applyNumberFormat="1" applyFont="1" applyFill="1" applyBorder="1"/>
    <xf numFmtId="0" fontId="3" fillId="2" borderId="16" xfId="0" applyNumberFormat="1" applyFont="1" applyFill="1" applyBorder="1"/>
    <xf numFmtId="0" fontId="3" fillId="2" borderId="17" xfId="0" applyNumberFormat="1" applyFont="1" applyFill="1" applyBorder="1"/>
    <xf numFmtId="0" fontId="3" fillId="2" borderId="18" xfId="0" applyNumberFormat="1" applyFont="1" applyFill="1" applyBorder="1"/>
    <xf numFmtId="3" fontId="8" fillId="5" borderId="9" xfId="0" applyNumberFormat="1" applyFont="1" applyFill="1" applyBorder="1" applyAlignment="1">
      <alignment horizontal="right" vertical="center" wrapText="1"/>
    </xf>
    <xf numFmtId="0" fontId="10" fillId="3" borderId="9" xfId="0" applyNumberFormat="1" applyFont="1" applyFill="1" applyBorder="1" applyAlignment="1">
      <alignment vertical="center" wrapText="1"/>
    </xf>
    <xf numFmtId="0" fontId="10" fillId="4" borderId="9" xfId="0" applyNumberFormat="1" applyFont="1" applyFill="1" applyBorder="1" applyAlignment="1">
      <alignment vertical="center" wrapText="1"/>
    </xf>
    <xf numFmtId="0" fontId="9" fillId="3" borderId="9" xfId="0" applyNumberFormat="1" applyFont="1" applyFill="1" applyBorder="1" applyAlignment="1">
      <alignment vertical="center" wrapText="1"/>
    </xf>
    <xf numFmtId="0" fontId="9" fillId="4" borderId="9" xfId="0" applyNumberFormat="1" applyFont="1" applyFill="1" applyBorder="1" applyAlignment="1">
      <alignment vertical="center" wrapText="1"/>
    </xf>
    <xf numFmtId="0" fontId="11" fillId="3" borderId="9" xfId="0" applyNumberFormat="1" applyFont="1" applyFill="1" applyBorder="1" applyAlignment="1">
      <alignment vertical="center" wrapText="1"/>
    </xf>
    <xf numFmtId="0" fontId="11" fillId="4" borderId="9" xfId="0" applyNumberFormat="1" applyFont="1" applyFill="1" applyBorder="1" applyAlignment="1">
      <alignment vertical="center" wrapText="1"/>
    </xf>
    <xf numFmtId="0" fontId="4" fillId="2" borderId="0" xfId="0" applyNumberFormat="1" applyFont="1" applyFill="1" applyBorder="1"/>
    <xf numFmtId="0" fontId="12" fillId="3" borderId="9" xfId="0" applyNumberFormat="1" applyFont="1" applyFill="1" applyBorder="1" applyAlignment="1">
      <alignment vertical="center" wrapText="1"/>
    </xf>
    <xf numFmtId="0" fontId="12" fillId="4" borderId="9" xfId="0" applyNumberFormat="1" applyFont="1" applyFill="1" applyBorder="1" applyAlignment="1">
      <alignment vertical="center" wrapText="1"/>
    </xf>
    <xf numFmtId="0" fontId="3" fillId="7" borderId="11" xfId="0" applyNumberFormat="1" applyFont="1" applyFill="1" applyBorder="1"/>
    <xf numFmtId="0" fontId="3" fillId="7" borderId="12" xfId="0" applyNumberFormat="1" applyFont="1" applyFill="1" applyBorder="1"/>
    <xf numFmtId="0" fontId="3" fillId="7" borderId="16" xfId="0" applyNumberFormat="1" applyFont="1" applyFill="1" applyBorder="1"/>
    <xf numFmtId="0" fontId="3" fillId="7" borderId="17" xfId="0" applyNumberFormat="1" applyFont="1" applyFill="1" applyBorder="1"/>
    <xf numFmtId="169" fontId="8" fillId="5" borderId="9" xfId="0" applyNumberFormat="1" applyFont="1" applyFill="1" applyBorder="1" applyAlignment="1">
      <alignment horizontal="right" vertical="center" wrapText="1"/>
    </xf>
    <xf numFmtId="0" fontId="0" fillId="8" borderId="0" xfId="0" applyFill="1"/>
    <xf numFmtId="0" fontId="8" fillId="9" borderId="0" xfId="0" applyNumberFormat="1" applyFont="1" applyFill="1" applyBorder="1"/>
    <xf numFmtId="0" fontId="7" fillId="10" borderId="0" xfId="0" applyNumberFormat="1" applyFont="1" applyFill="1" applyBorder="1" applyAlignment="1">
      <alignment wrapText="1"/>
    </xf>
    <xf numFmtId="0" fontId="8" fillId="12" borderId="0" xfId="0" applyNumberFormat="1" applyFont="1" applyFill="1" applyBorder="1" applyAlignment="1">
      <alignment wrapText="1"/>
    </xf>
    <xf numFmtId="0" fontId="8" fillId="13" borderId="0" xfId="0" applyNumberFormat="1" applyFont="1" applyFill="1" applyBorder="1" applyAlignment="1">
      <alignment wrapText="1"/>
    </xf>
    <xf numFmtId="0" fontId="8" fillId="14" borderId="0" xfId="0" applyNumberFormat="1" applyFont="1" applyFill="1" applyBorder="1" applyAlignment="1">
      <alignment wrapText="1"/>
    </xf>
    <xf numFmtId="0" fontId="8" fillId="9" borderId="0" xfId="0" applyNumberFormat="1" applyFont="1" applyFill="1" applyBorder="1" applyAlignment="1">
      <alignment wrapText="1"/>
    </xf>
    <xf numFmtId="169" fontId="8" fillId="15" borderId="0" xfId="0" applyNumberFormat="1" applyFont="1" applyFill="1" applyBorder="1" applyAlignment="1">
      <alignment wrapText="1"/>
    </xf>
    <xf numFmtId="171" fontId="8" fillId="15" borderId="0" xfId="0" applyNumberFormat="1" applyFont="1" applyFill="1" applyBorder="1" applyAlignment="1">
      <alignment wrapText="1"/>
    </xf>
    <xf numFmtId="171" fontId="8" fillId="12" borderId="0" xfId="0" applyNumberFormat="1" applyFont="1" applyFill="1" applyBorder="1" applyAlignment="1">
      <alignment wrapText="1"/>
    </xf>
    <xf numFmtId="171" fontId="8" fillId="13" borderId="0" xfId="0" applyNumberFormat="1" applyFont="1" applyFill="1" applyBorder="1" applyAlignment="1">
      <alignment wrapText="1"/>
    </xf>
    <xf numFmtId="167" fontId="8" fillId="12" borderId="0" xfId="0" applyNumberFormat="1" applyFont="1" applyFill="1" applyBorder="1" applyAlignment="1">
      <alignment wrapText="1"/>
    </xf>
    <xf numFmtId="2" fontId="8" fillId="15" borderId="0" xfId="0" applyNumberFormat="1" applyFont="1" applyFill="1" applyBorder="1" applyAlignment="1">
      <alignment wrapText="1"/>
    </xf>
    <xf numFmtId="165" fontId="8" fillId="15" borderId="0" xfId="0" applyNumberFormat="1" applyFont="1" applyFill="1" applyBorder="1" applyAlignment="1">
      <alignment wrapText="1"/>
    </xf>
    <xf numFmtId="0" fontId="7" fillId="16" borderId="0" xfId="0" applyNumberFormat="1" applyFont="1" applyFill="1" applyBorder="1" applyAlignment="1">
      <alignment wrapText="1"/>
    </xf>
    <xf numFmtId="0" fontId="8" fillId="17" borderId="0" xfId="0" applyNumberFormat="1" applyFont="1" applyFill="1" applyBorder="1" applyAlignment="1">
      <alignment wrapText="1"/>
    </xf>
    <xf numFmtId="0" fontId="8" fillId="18" borderId="0" xfId="0" applyNumberFormat="1" applyFont="1" applyFill="1" applyBorder="1" applyAlignment="1">
      <alignment wrapText="1"/>
    </xf>
    <xf numFmtId="171" fontId="8" fillId="19" borderId="0" xfId="0" applyNumberFormat="1" applyFont="1" applyFill="1" applyBorder="1" applyAlignment="1">
      <alignment wrapText="1"/>
    </xf>
    <xf numFmtId="0" fontId="8" fillId="9" borderId="0" xfId="0" applyNumberFormat="1" applyFont="1" applyFill="1" applyBorder="1"/>
    <xf numFmtId="0" fontId="7" fillId="10" borderId="0" xfId="0" applyNumberFormat="1" applyFont="1" applyFill="1" applyBorder="1" applyAlignment="1">
      <alignment wrapText="1"/>
    </xf>
    <xf numFmtId="0" fontId="8" fillId="14" borderId="0" xfId="0" applyNumberFormat="1" applyFont="1" applyFill="1" applyBorder="1" applyAlignment="1">
      <alignment wrapText="1"/>
    </xf>
    <xf numFmtId="170" fontId="8" fillId="13" borderId="0" xfId="0" applyNumberFormat="1" applyFont="1" applyFill="1" applyBorder="1" applyAlignment="1">
      <alignment wrapText="1"/>
    </xf>
    <xf numFmtId="2" fontId="8" fillId="12" borderId="0" xfId="0" applyNumberFormat="1" applyFont="1" applyFill="1" applyBorder="1" applyAlignment="1">
      <alignment wrapText="1"/>
    </xf>
    <xf numFmtId="2" fontId="8" fillId="13" borderId="0" xfId="0" applyNumberFormat="1" applyFont="1" applyFill="1" applyBorder="1" applyAlignment="1">
      <alignment wrapText="1"/>
    </xf>
    <xf numFmtId="169" fontId="8" fillId="12" borderId="0" xfId="0" applyNumberFormat="1" applyFont="1" applyFill="1" applyBorder="1" applyAlignment="1">
      <alignment wrapText="1"/>
    </xf>
    <xf numFmtId="169" fontId="8" fillId="13" borderId="0" xfId="0" applyNumberFormat="1" applyFont="1" applyFill="1" applyBorder="1" applyAlignment="1">
      <alignment wrapText="1"/>
    </xf>
    <xf numFmtId="169" fontId="8" fillId="14" borderId="0" xfId="0" applyNumberFormat="1" applyFont="1" applyFill="1" applyBorder="1" applyAlignment="1">
      <alignment wrapText="1"/>
    </xf>
    <xf numFmtId="168" fontId="8" fillId="14" borderId="0" xfId="0" applyNumberFormat="1" applyFont="1" applyFill="1" applyBorder="1" applyAlignment="1">
      <alignment wrapText="1"/>
    </xf>
    <xf numFmtId="169" fontId="8" fillId="18" borderId="0" xfId="0" applyNumberFormat="1" applyFont="1" applyFill="1" applyBorder="1" applyAlignment="1">
      <alignment wrapText="1"/>
    </xf>
    <xf numFmtId="169" fontId="8" fillId="17" borderId="0" xfId="0" applyNumberFormat="1" applyFont="1" applyFill="1" applyBorder="1" applyAlignment="1">
      <alignment wrapText="1"/>
    </xf>
    <xf numFmtId="168" fontId="8" fillId="17" borderId="0" xfId="0" applyNumberFormat="1" applyFont="1" applyFill="1" applyBorder="1" applyAlignment="1">
      <alignment wrapText="1"/>
    </xf>
    <xf numFmtId="168" fontId="8" fillId="18" borderId="0" xfId="0" applyNumberFormat="1" applyFont="1" applyFill="1" applyBorder="1" applyAlignment="1">
      <alignment wrapText="1"/>
    </xf>
    <xf numFmtId="170" fontId="8" fillId="18" borderId="0" xfId="0" applyNumberFormat="1" applyFont="1" applyFill="1" applyBorder="1" applyAlignment="1">
      <alignment wrapText="1"/>
    </xf>
    <xf numFmtId="0" fontId="18" fillId="20" borderId="0" xfId="0" applyNumberFormat="1" applyFont="1" applyFill="1" applyBorder="1"/>
    <xf numFmtId="0" fontId="15" fillId="21" borderId="0" xfId="0" applyNumberFormat="1" applyFont="1" applyFill="1" applyBorder="1" applyAlignment="1">
      <alignment wrapText="1"/>
    </xf>
    <xf numFmtId="0" fontId="17" fillId="22" borderId="0" xfId="0" applyNumberFormat="1" applyFont="1" applyFill="1" applyBorder="1" applyAlignment="1">
      <alignment wrapText="1"/>
    </xf>
    <xf numFmtId="172" fontId="15" fillId="21" borderId="0" xfId="0" applyNumberFormat="1" applyFont="1" applyFill="1" applyBorder="1" applyAlignment="1">
      <alignment wrapText="1"/>
    </xf>
    <xf numFmtId="170" fontId="8" fillId="12" borderId="0" xfId="0" applyNumberFormat="1" applyFont="1" applyFill="1" applyBorder="1" applyAlignment="1">
      <alignment wrapText="1"/>
    </xf>
    <xf numFmtId="3" fontId="19" fillId="23" borderId="0" xfId="0" applyNumberFormat="1" applyFont="1" applyFill="1" applyAlignment="1">
      <alignment wrapText="1"/>
    </xf>
    <xf numFmtId="2" fontId="20" fillId="23" borderId="0" xfId="0" applyNumberFormat="1" applyFont="1" applyFill="1" applyAlignment="1">
      <alignment wrapText="1"/>
    </xf>
    <xf numFmtId="173" fontId="19" fillId="23" borderId="0" xfId="0" applyNumberFormat="1" applyFont="1" applyFill="1" applyAlignment="1">
      <alignment wrapText="1"/>
    </xf>
    <xf numFmtId="0" fontId="20" fillId="23" borderId="0" xfId="0" applyFont="1" applyFill="1" applyAlignment="1">
      <alignment wrapText="1"/>
    </xf>
    <xf numFmtId="174" fontId="19" fillId="23" borderId="0" xfId="0" applyNumberFormat="1" applyFont="1" applyFill="1" applyAlignment="1">
      <alignment wrapText="1"/>
    </xf>
    <xf numFmtId="165" fontId="20" fillId="23" borderId="0" xfId="0" applyNumberFormat="1" applyFont="1" applyFill="1" applyAlignment="1">
      <alignment wrapText="1"/>
    </xf>
    <xf numFmtId="1" fontId="19" fillId="23" borderId="0" xfId="0" applyNumberFormat="1" applyFont="1" applyFill="1" applyAlignment="1">
      <alignment wrapText="1"/>
    </xf>
    <xf numFmtId="0" fontId="17" fillId="24" borderId="0" xfId="0" applyNumberFormat="1" applyFont="1" applyFill="1" applyBorder="1" applyAlignment="1">
      <alignment horizontal="center"/>
    </xf>
    <xf numFmtId="0" fontId="15" fillId="25" borderId="0" xfId="0" applyNumberFormat="1" applyFont="1" applyFill="1" applyBorder="1" applyAlignment="1">
      <alignment wrapText="1"/>
    </xf>
    <xf numFmtId="170" fontId="15" fillId="25" borderId="0" xfId="0" applyNumberFormat="1" applyFont="1" applyFill="1" applyBorder="1" applyAlignment="1">
      <alignment wrapText="1"/>
    </xf>
    <xf numFmtId="0" fontId="17" fillId="24" borderId="0" xfId="0" applyNumberFormat="1" applyFont="1" applyFill="1" applyBorder="1" applyAlignment="1">
      <alignment wrapText="1"/>
    </xf>
    <xf numFmtId="169" fontId="15" fillId="25" borderId="0" xfId="0" applyNumberFormat="1" applyFont="1" applyFill="1" applyBorder="1" applyAlignment="1">
      <alignment wrapText="1"/>
    </xf>
    <xf numFmtId="0" fontId="20" fillId="26" borderId="0" xfId="0" applyNumberFormat="1" applyFont="1" applyFill="1" applyBorder="1"/>
    <xf numFmtId="0" fontId="21" fillId="27" borderId="0" xfId="0" applyNumberFormat="1" applyFont="1" applyFill="1" applyBorder="1" applyAlignment="1">
      <alignment horizontal="center" wrapText="1"/>
    </xf>
    <xf numFmtId="0" fontId="20" fillId="29" borderId="0" xfId="0" applyNumberFormat="1" applyFont="1" applyFill="1" applyBorder="1" applyAlignment="1">
      <alignment wrapText="1"/>
    </xf>
    <xf numFmtId="0" fontId="20" fillId="30" borderId="0" xfId="0" applyNumberFormat="1" applyFont="1" applyFill="1" applyBorder="1" applyAlignment="1">
      <alignment wrapText="1"/>
    </xf>
    <xf numFmtId="166" fontId="20" fillId="29" borderId="0" xfId="0" applyNumberFormat="1" applyFont="1" applyFill="1" applyBorder="1" applyAlignment="1">
      <alignment wrapText="1"/>
    </xf>
    <xf numFmtId="166" fontId="20" fillId="30" borderId="0" xfId="0" applyNumberFormat="1" applyFont="1" applyFill="1" applyBorder="1" applyAlignment="1">
      <alignment wrapText="1"/>
    </xf>
    <xf numFmtId="0" fontId="23" fillId="29" borderId="0" xfId="0" applyNumberFormat="1" applyFont="1" applyFill="1" applyBorder="1" applyAlignment="1">
      <alignment wrapText="1"/>
    </xf>
    <xf numFmtId="0" fontId="23" fillId="30" borderId="0" xfId="0" applyNumberFormat="1" applyFont="1" applyFill="1" applyBorder="1" applyAlignment="1">
      <alignment wrapText="1"/>
    </xf>
    <xf numFmtId="167" fontId="20" fillId="31" borderId="0" xfId="0" applyNumberFormat="1" applyFont="1" applyFill="1" applyBorder="1" applyAlignment="1">
      <alignment wrapText="1"/>
    </xf>
    <xf numFmtId="173" fontId="20" fillId="31" borderId="0" xfId="0" applyNumberFormat="1" applyFont="1" applyFill="1" applyBorder="1" applyAlignment="1">
      <alignment wrapText="1"/>
    </xf>
    <xf numFmtId="166" fontId="23" fillId="32" borderId="0" xfId="0" applyNumberFormat="1" applyFont="1" applyFill="1" applyBorder="1" applyAlignment="1">
      <alignment wrapText="1"/>
    </xf>
    <xf numFmtId="0" fontId="21" fillId="33" borderId="0" xfId="0" applyNumberFormat="1" applyFont="1" applyFill="1" applyBorder="1" applyAlignment="1">
      <alignment horizontal="center" wrapText="1"/>
    </xf>
    <xf numFmtId="0" fontId="20" fillId="34" borderId="0" xfId="0" applyNumberFormat="1" applyFont="1" applyFill="1" applyBorder="1" applyAlignment="1">
      <alignment wrapText="1"/>
    </xf>
    <xf numFmtId="166" fontId="20" fillId="34" borderId="0" xfId="0" applyNumberFormat="1" applyFont="1" applyFill="1" applyBorder="1" applyAlignment="1">
      <alignment wrapText="1"/>
    </xf>
    <xf numFmtId="0" fontId="8" fillId="3" borderId="19" xfId="0" applyNumberFormat="1" applyFont="1" applyFill="1" applyBorder="1" applyAlignment="1">
      <alignment vertical="center" wrapText="1"/>
    </xf>
    <xf numFmtId="0" fontId="8" fillId="3" borderId="0" xfId="0" applyNumberFormat="1" applyFont="1" applyFill="1" applyBorder="1" applyAlignment="1">
      <alignment vertical="center" wrapText="1"/>
    </xf>
    <xf numFmtId="0" fontId="8" fillId="4" borderId="19" xfId="0" applyNumberFormat="1" applyFont="1" applyFill="1" applyBorder="1" applyAlignment="1">
      <alignment vertical="center" wrapText="1"/>
    </xf>
    <xf numFmtId="0" fontId="8" fillId="4" borderId="0" xfId="0" applyNumberFormat="1" applyFont="1" applyFill="1" applyBorder="1" applyAlignment="1">
      <alignment vertical="center" wrapText="1"/>
    </xf>
    <xf numFmtId="0" fontId="7" fillId="2" borderId="20" xfId="0" applyNumberFormat="1" applyFont="1" applyFill="1" applyBorder="1" applyAlignment="1">
      <alignment horizontal="center" vertical="center" wrapText="1"/>
    </xf>
    <xf numFmtId="0" fontId="7" fillId="2" borderId="0" xfId="0" applyNumberFormat="1" applyFont="1" applyFill="1" applyBorder="1" applyAlignment="1">
      <alignment horizontal="center" vertical="center" wrapText="1"/>
    </xf>
    <xf numFmtId="0" fontId="5" fillId="2" borderId="21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wrapText="1"/>
    </xf>
    <xf numFmtId="0" fontId="6" fillId="3" borderId="0" xfId="0" applyNumberFormat="1" applyFont="1" applyFill="1" applyBorder="1" applyAlignment="1">
      <alignment horizontal="center" vertical="center" wrapText="1"/>
    </xf>
    <xf numFmtId="0" fontId="3" fillId="7" borderId="0" xfId="0" applyNumberFormat="1" applyFont="1" applyFill="1" applyBorder="1" applyAlignment="1">
      <alignment horizontal="center"/>
    </xf>
    <xf numFmtId="0" fontId="8" fillId="3" borderId="9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wrapText="1"/>
    </xf>
    <xf numFmtId="0" fontId="8" fillId="4" borderId="9" xfId="0" applyNumberFormat="1" applyFont="1" applyFill="1" applyBorder="1" applyAlignment="1">
      <alignment vertical="center" wrapText="1"/>
    </xf>
    <xf numFmtId="0" fontId="8" fillId="17" borderId="0" xfId="0" applyNumberFormat="1" applyFont="1" applyFill="1" applyBorder="1" applyAlignment="1">
      <alignment wrapText="1"/>
    </xf>
    <xf numFmtId="0" fontId="8" fillId="18" borderId="0" xfId="0" applyNumberFormat="1" applyFont="1" applyFill="1" applyBorder="1" applyAlignment="1">
      <alignment wrapText="1"/>
    </xf>
    <xf numFmtId="0" fontId="7" fillId="16" borderId="0" xfId="0" applyNumberFormat="1" applyFont="1" applyFill="1" applyBorder="1" applyAlignment="1">
      <alignment horizontal="center" wrapText="1"/>
    </xf>
    <xf numFmtId="0" fontId="13" fillId="10" borderId="0" xfId="0" applyNumberFormat="1" applyFont="1" applyFill="1" applyBorder="1"/>
    <xf numFmtId="0" fontId="13" fillId="10" borderId="0" xfId="0" applyNumberFormat="1" applyFont="1" applyFill="1" applyBorder="1" applyAlignment="1">
      <alignment wrapText="1"/>
    </xf>
    <xf numFmtId="0" fontId="14" fillId="11" borderId="0" xfId="0" applyNumberFormat="1" applyFont="1" applyFill="1" applyBorder="1" applyAlignment="1">
      <alignment wrapText="1"/>
    </xf>
    <xf numFmtId="0" fontId="16" fillId="24" borderId="0" xfId="0" applyNumberFormat="1" applyFont="1" applyFill="1" applyBorder="1" applyAlignment="1">
      <alignment horizontal="center"/>
    </xf>
    <xf numFmtId="0" fontId="21" fillId="27" borderId="0" xfId="0" applyNumberFormat="1" applyFont="1" applyFill="1" applyBorder="1" applyAlignment="1">
      <alignment horizontal="center" wrapText="1"/>
    </xf>
    <xf numFmtId="0" fontId="22" fillId="28" borderId="0" xfId="0" applyNumberFormat="1" applyFont="1" applyFill="1" applyBorder="1" applyAlignment="1">
      <alignment wrapText="1"/>
    </xf>
    <xf numFmtId="0" fontId="21" fillId="33" borderId="0" xfId="0" applyNumberFormat="1" applyFont="1" applyFill="1" applyBorder="1" applyAlignment="1">
      <alignment horizontal="center" wrapText="1"/>
    </xf>
    <xf numFmtId="0" fontId="21" fillId="35" borderId="0" xfId="0" applyNumberFormat="1" applyFont="1" applyFill="1" applyBorder="1" applyAlignment="1">
      <alignment horizontal="center" wrapText="1"/>
    </xf>
    <xf numFmtId="0" fontId="5" fillId="2" borderId="1" xfId="0" applyNumberFormat="1" applyFont="1" applyFill="1" applyBorder="1" applyAlignment="1">
      <alignment horizontal="left" vertical="center"/>
    </xf>
    <xf numFmtId="0" fontId="5" fillId="2" borderId="2" xfId="0" applyNumberFormat="1" applyFont="1" applyFill="1" applyBorder="1" applyAlignment="1">
      <alignment horizontal="left" vertical="center"/>
    </xf>
    <xf numFmtId="0" fontId="5" fillId="2" borderId="3" xfId="0" applyNumberFormat="1" applyFont="1" applyFill="1" applyBorder="1" applyAlignment="1">
      <alignment horizontal="left" vertical="center" wrapText="1"/>
    </xf>
    <xf numFmtId="0" fontId="5" fillId="2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Power Cost Comparison (ex. Launch Costs)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Space Solar ($/MWh)</c:v>
          </c:tx>
          <c:cat>
            <c:numRef>
              <c:f>'Energy Cost Analysis'!$D$111:$D$113</c:f>
              <c:numCache>
                <c:formatCode>General</c:formatCode>
                <c:ptCount val="3"/>
                <c:pt idx="0">
                  <c:v>2026</c:v>
                </c:pt>
                <c:pt idx="1">
                  <c:v>2036</c:v>
                </c:pt>
                <c:pt idx="2">
                  <c:v>2051</c:v>
                </c:pt>
              </c:numCache>
            </c:numRef>
          </c:cat>
          <c:val>
            <c:numRef>
              <c:f>'Energy Cost Analysis'!$E$111:$E$113</c:f>
              <c:numCache>
                <c:formatCode>\$0</c:formatCode>
                <c:ptCount val="3"/>
                <c:pt idx="0">
                  <c:v>27.167141040087674</c:v>
                </c:pt>
                <c:pt idx="1">
                  <c:v>3.0212640733612783</c:v>
                </c:pt>
                <c:pt idx="2">
                  <c:v>2.5435692994234373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95-4B59-864C-8B113EE4020F}"/>
            </c:ext>
          </c:extLst>
        </c:ser>
        <c:ser>
          <c:idx val="1"/>
          <c:order val="1"/>
          <c:tx>
            <c:v>AZ Firm Solar+BESS ($/MWh)</c:v>
          </c:tx>
          <c:cat>
            <c:numRef>
              <c:f>'Energy Cost Analysis'!$D$111:$D$113</c:f>
              <c:numCache>
                <c:formatCode>General</c:formatCode>
                <c:ptCount val="3"/>
                <c:pt idx="0">
                  <c:v>2026</c:v>
                </c:pt>
                <c:pt idx="1">
                  <c:v>2036</c:v>
                </c:pt>
                <c:pt idx="2">
                  <c:v>2051</c:v>
                </c:pt>
              </c:numCache>
            </c:numRef>
          </c:cat>
          <c:val>
            <c:numRef>
              <c:f>'Energy Cost Analysis'!$F$111:$F$113</c:f>
              <c:numCache>
                <c:formatCode>\$0</c:formatCode>
                <c:ptCount val="3"/>
                <c:pt idx="0">
                  <c:v>93.923250267415298</c:v>
                </c:pt>
                <c:pt idx="1">
                  <c:v>66.339927436820233</c:v>
                </c:pt>
                <c:pt idx="2">
                  <c:v>50.943172900950522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95-4B59-864C-8B113EE4020F}"/>
            </c:ext>
          </c:extLst>
        </c:ser>
        <c:ser>
          <c:idx val="2"/>
          <c:order val="2"/>
          <c:tx>
            <c:v>Wind+BESS ($/MWh)</c:v>
          </c:tx>
          <c:cat>
            <c:numRef>
              <c:f>'Energy Cost Analysis'!$D$111:$D$113</c:f>
              <c:numCache>
                <c:formatCode>General</c:formatCode>
                <c:ptCount val="3"/>
                <c:pt idx="0">
                  <c:v>2026</c:v>
                </c:pt>
                <c:pt idx="1">
                  <c:v>2036</c:v>
                </c:pt>
                <c:pt idx="2">
                  <c:v>2051</c:v>
                </c:pt>
              </c:numCache>
            </c:numRef>
          </c:cat>
          <c:val>
            <c:numRef>
              <c:f>'Energy Cost Analysis'!$G$111:$G$113</c:f>
              <c:numCache>
                <c:formatCode>\$0</c:formatCode>
                <c:ptCount val="3"/>
                <c:pt idx="0">
                  <c:v>53.54782871160976</c:v>
                </c:pt>
                <c:pt idx="1">
                  <c:v>43.344397452910016</c:v>
                </c:pt>
                <c:pt idx="2">
                  <c:v>35.288245201836695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95-4B59-864C-8B113EE4020F}"/>
            </c:ext>
          </c:extLst>
        </c:ser>
        <c:ser>
          <c:idx val="3"/>
          <c:order val="3"/>
          <c:tx>
            <c:v>Cheapest Existing US ($/MWh)</c:v>
          </c:tx>
          <c:cat>
            <c:numRef>
              <c:f>'Energy Cost Analysis'!$D$111:$D$113</c:f>
              <c:numCache>
                <c:formatCode>General</c:formatCode>
                <c:ptCount val="3"/>
                <c:pt idx="0">
                  <c:v>2026</c:v>
                </c:pt>
                <c:pt idx="1">
                  <c:v>2036</c:v>
                </c:pt>
                <c:pt idx="2">
                  <c:v>2051</c:v>
                </c:pt>
              </c:numCache>
            </c:numRef>
          </c:cat>
          <c:val>
            <c:numRef>
              <c:f>'Energy Cost Analysis'!$H$111:$H$113</c:f>
              <c:numCache>
                <c:formatCode>\$0</c:formatCode>
                <c:ptCount val="3"/>
                <c:pt idx="0">
                  <c:v>31.825100318251003</c:v>
                </c:pt>
                <c:pt idx="1">
                  <c:v>31.825100318251003</c:v>
                </c:pt>
                <c:pt idx="2">
                  <c:v>30.441400304414003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95-4B59-864C-8B113EE4020F}"/>
            </c:ext>
          </c:extLst>
        </c:ser>
        <c:ser>
          <c:idx val="4"/>
          <c:order val="4"/>
          <c:tx>
            <c:v>Nat Gas New Build ($/MWh)</c:v>
          </c:tx>
          <c:cat>
            <c:numRef>
              <c:f>'Energy Cost Analysis'!$D$111:$D$113</c:f>
              <c:numCache>
                <c:formatCode>General</c:formatCode>
                <c:ptCount val="3"/>
                <c:pt idx="0">
                  <c:v>2026</c:v>
                </c:pt>
                <c:pt idx="1">
                  <c:v>2036</c:v>
                </c:pt>
                <c:pt idx="2">
                  <c:v>2051</c:v>
                </c:pt>
              </c:numCache>
            </c:numRef>
          </c:cat>
          <c:val>
            <c:numRef>
              <c:f>'Energy Cost Analysis'!$I$111:$I$113</c:f>
              <c:numCache>
                <c:formatCode>\$0</c:formatCode>
                <c:ptCount val="3"/>
                <c:pt idx="0">
                  <c:v>77</c:v>
                </c:pt>
                <c:pt idx="1">
                  <c:v>70</c:v>
                </c:pt>
                <c:pt idx="2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95-4B59-864C-8B113EE40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675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AI Satellite TCO - 2026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Annual Cost</c:v>
          </c:tx>
          <c:cat>
            <c:strRef>
              <c:f>'TCO Analysis'!$D$155:$D$161</c:f>
              <c:strCache>
                <c:ptCount val="7"/>
                <c:pt idx="0">
                  <c:v>IT Hardware</c:v>
                </c:pt>
                <c:pt idx="1">
                  <c:v>Struct/Cooling</c:v>
                </c:pt>
                <c:pt idx="2">
                  <c:v>Bus Components</c:v>
                </c:pt>
                <c:pt idx="3">
                  <c:v>Space Power</c:v>
                </c:pt>
                <c:pt idx="4">
                  <c:v>Opex</c:v>
                </c:pt>
                <c:pt idx="5">
                  <c:v>Networking Opp.</c:v>
                </c:pt>
                <c:pt idx="6">
                  <c:v>Launch Costs Ex. Power</c:v>
                </c:pt>
              </c:strCache>
            </c:strRef>
          </c:cat>
          <c:val>
            <c:numRef>
              <c:f>'TCO Analysis'!$E$155:$E$161</c:f>
              <c:numCache>
                <c:formatCode>\$#,##0</c:formatCode>
                <c:ptCount val="7"/>
                <c:pt idx="0">
                  <c:v>768181.81818181812</c:v>
                </c:pt>
                <c:pt idx="1">
                  <c:v>100000</c:v>
                </c:pt>
                <c:pt idx="2">
                  <c:v>40000</c:v>
                </c:pt>
                <c:pt idx="3">
                  <c:v>255354.5335117713</c:v>
                </c:pt>
                <c:pt idx="4">
                  <c:v>30000</c:v>
                </c:pt>
                <c:pt idx="5">
                  <c:v>0</c:v>
                </c:pt>
                <c:pt idx="6">
                  <c:v>422530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79-4984-BD84-E72AE91E9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  <c:txPr>
        <a:bodyPr anchorCtr="1"/>
        <a:lstStyle/>
        <a:p>
          <a:pPr>
            <a:defRPr sz="675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Terrestrial Datacenter TCO - 2026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Annual Cost</c:v>
          </c:tx>
          <c:cat>
            <c:strRef>
              <c:f>'TCO Analysis'!$G$155:$G$159</c:f>
              <c:strCache>
                <c:ptCount val="5"/>
                <c:pt idx="0">
                  <c:v>IT Hardware</c:v>
                </c:pt>
                <c:pt idx="1">
                  <c:v>Datacenter Facility</c:v>
                </c:pt>
                <c:pt idx="2">
                  <c:v>Cooling Hardware</c:v>
                </c:pt>
                <c:pt idx="3">
                  <c:v>Nat Gas New Build</c:v>
                </c:pt>
                <c:pt idx="4">
                  <c:v>Opex</c:v>
                </c:pt>
              </c:strCache>
            </c:strRef>
          </c:cat>
          <c:val>
            <c:numRef>
              <c:f>'TCO Analysis'!$H$155:$H$159</c:f>
              <c:numCache>
                <c:formatCode>\$#,##0</c:formatCode>
                <c:ptCount val="5"/>
                <c:pt idx="0">
                  <c:v>780000</c:v>
                </c:pt>
                <c:pt idx="1">
                  <c:v>44000</c:v>
                </c:pt>
                <c:pt idx="2">
                  <c:v>25000</c:v>
                </c:pt>
                <c:pt idx="3">
                  <c:v>97940.304000000018</c:v>
                </c:pt>
                <c:pt idx="4">
                  <c:v>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20-4177-BFEA-7B7D3B9CB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  <c:txPr>
        <a:bodyPr anchorCtr="1"/>
        <a:lstStyle/>
        <a:p>
          <a:pPr>
            <a:defRPr sz="675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AI Satellite TCO - 2036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Annual Cost</c:v>
          </c:tx>
          <c:cat>
            <c:strRef>
              <c:f>'TCO Analysis'!$D$167:$D$173</c:f>
              <c:strCache>
                <c:ptCount val="7"/>
                <c:pt idx="0">
                  <c:v>IT Hardware</c:v>
                </c:pt>
                <c:pt idx="1">
                  <c:v>Struct/Cooling</c:v>
                </c:pt>
                <c:pt idx="2">
                  <c:v>Bus Components</c:v>
                </c:pt>
                <c:pt idx="3">
                  <c:v>Space Power</c:v>
                </c:pt>
                <c:pt idx="4">
                  <c:v>Opex</c:v>
                </c:pt>
                <c:pt idx="5">
                  <c:v>Networking Opp.</c:v>
                </c:pt>
                <c:pt idx="6">
                  <c:v>Launch Costs Ex. Power</c:v>
                </c:pt>
              </c:strCache>
            </c:strRef>
          </c:cat>
          <c:val>
            <c:numRef>
              <c:f>'TCO Analysis'!$E$167:$E$173</c:f>
              <c:numCache>
                <c:formatCode>\$#,##0</c:formatCode>
                <c:ptCount val="7"/>
                <c:pt idx="0">
                  <c:v>1575757.5757575757</c:v>
                </c:pt>
                <c:pt idx="1">
                  <c:v>60000</c:v>
                </c:pt>
                <c:pt idx="2">
                  <c:v>35000</c:v>
                </c:pt>
                <c:pt idx="3">
                  <c:v>15638.725994126573</c:v>
                </c:pt>
                <c:pt idx="4">
                  <c:v>25000</c:v>
                </c:pt>
                <c:pt idx="5">
                  <c:v>0</c:v>
                </c:pt>
                <c:pt idx="6">
                  <c:v>162000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31-4937-9D00-022A9B944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  <c:txPr>
        <a:bodyPr anchorCtr="1"/>
        <a:lstStyle/>
        <a:p>
          <a:pPr>
            <a:defRPr sz="675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Terrestrial Datacenter TCO - 2036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Annual Cost</c:v>
          </c:tx>
          <c:cat>
            <c:strRef>
              <c:f>'TCO Analysis'!$G$167:$G$171</c:f>
              <c:strCache>
                <c:ptCount val="5"/>
                <c:pt idx="0">
                  <c:v>IT Hardware</c:v>
                </c:pt>
                <c:pt idx="1">
                  <c:v>Datacenter Facility</c:v>
                </c:pt>
                <c:pt idx="2">
                  <c:v>Cooling Hardware</c:v>
                </c:pt>
                <c:pt idx="3">
                  <c:v>Nat Gas New Build</c:v>
                </c:pt>
                <c:pt idx="4">
                  <c:v>Opex</c:v>
                </c:pt>
              </c:strCache>
            </c:strRef>
          </c:cat>
          <c:val>
            <c:numRef>
              <c:f>'TCO Analysis'!$H$167:$H$171</c:f>
              <c:numCache>
                <c:formatCode>\$#,##0</c:formatCode>
                <c:ptCount val="5"/>
                <c:pt idx="0">
                  <c:v>1600000</c:v>
                </c:pt>
                <c:pt idx="1">
                  <c:v>41666.666666666664</c:v>
                </c:pt>
                <c:pt idx="2">
                  <c:v>18000</c:v>
                </c:pt>
                <c:pt idx="3">
                  <c:v>87417.792000000016</c:v>
                </c:pt>
                <c:pt idx="4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5-45A8-A59E-C6088F080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  <c:txPr>
        <a:bodyPr anchorCtr="1"/>
        <a:lstStyle/>
        <a:p>
          <a:pPr>
            <a:defRPr sz="675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AI Satellite TCO - 2051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Annual Cost</c:v>
          </c:tx>
          <c:cat>
            <c:strRef>
              <c:f>'TCO Analysis'!$D$179:$D$185</c:f>
              <c:strCache>
                <c:ptCount val="7"/>
                <c:pt idx="0">
                  <c:v>IT Hardware</c:v>
                </c:pt>
                <c:pt idx="1">
                  <c:v>Struct/Cooling</c:v>
                </c:pt>
                <c:pt idx="2">
                  <c:v>Bus Components</c:v>
                </c:pt>
                <c:pt idx="3">
                  <c:v>Space Power</c:v>
                </c:pt>
                <c:pt idx="4">
                  <c:v>Opex</c:v>
                </c:pt>
                <c:pt idx="5">
                  <c:v>Networking Opp.</c:v>
                </c:pt>
                <c:pt idx="6">
                  <c:v>Launch Costs Ex. Power</c:v>
                </c:pt>
              </c:strCache>
            </c:strRef>
          </c:cat>
          <c:val>
            <c:numRef>
              <c:f>'TCO Analysis'!$E$179:$E$185</c:f>
              <c:numCache>
                <c:formatCode>\$#,##0</c:formatCode>
                <c:ptCount val="7"/>
                <c:pt idx="0">
                  <c:v>3939393.939393939</c:v>
                </c:pt>
                <c:pt idx="1">
                  <c:v>40000</c:v>
                </c:pt>
                <c:pt idx="2">
                  <c:v>30000</c:v>
                </c:pt>
                <c:pt idx="3">
                  <c:v>5900.741370687826</c:v>
                </c:pt>
                <c:pt idx="4">
                  <c:v>20000</c:v>
                </c:pt>
                <c:pt idx="5">
                  <c:v>0</c:v>
                </c:pt>
                <c:pt idx="6">
                  <c:v>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68-4931-A518-AB5BC2BD2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  <c:txPr>
        <a:bodyPr anchorCtr="1"/>
        <a:lstStyle/>
        <a:p>
          <a:pPr>
            <a:defRPr sz="675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Terrestrial Datacenter TCO - 2051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Annual Cost</c:v>
          </c:tx>
          <c:cat>
            <c:strRef>
              <c:f>'TCO Analysis'!$G$179:$G$183</c:f>
              <c:strCache>
                <c:ptCount val="5"/>
                <c:pt idx="0">
                  <c:v>IT Hardware</c:v>
                </c:pt>
                <c:pt idx="1">
                  <c:v>Datacenter Facility</c:v>
                </c:pt>
                <c:pt idx="2">
                  <c:v>Cooling Hardware</c:v>
                </c:pt>
                <c:pt idx="3">
                  <c:v>Nat Gas New Build</c:v>
                </c:pt>
                <c:pt idx="4">
                  <c:v>Opex</c:v>
                </c:pt>
              </c:strCache>
            </c:strRef>
          </c:cat>
          <c:val>
            <c:numRef>
              <c:f>'TCO Analysis'!$H$179:$H$183</c:f>
              <c:numCache>
                <c:formatCode>\$#,##0</c:formatCode>
                <c:ptCount val="5"/>
                <c:pt idx="0">
                  <c:v>4000000</c:v>
                </c:pt>
                <c:pt idx="1">
                  <c:v>40000</c:v>
                </c:pt>
                <c:pt idx="2">
                  <c:v>15000</c:v>
                </c:pt>
                <c:pt idx="3">
                  <c:v>79670.448000000019</c:v>
                </c:pt>
                <c:pt idx="4">
                  <c:v>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A-4017-984D-B194638AC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  <c:txPr>
        <a:bodyPr anchorCtr="1"/>
        <a:lstStyle/>
        <a:p>
          <a:pPr>
            <a:defRPr sz="675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xAI + Space Datacenter vs Frontier Lab + Hyperscaler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invertIfNegative val="0"/>
          <c:cat>
            <c:strRef>
              <c:f>'Revenue and Profit'!$D$105:$D$111</c:f>
              <c:strCache>
                <c:ptCount val="7"/>
                <c:pt idx="1">
                  <c:v>2026 xAI + Space DC</c:v>
                </c:pt>
                <c:pt idx="2">
                  <c:v>2026 Frontier Lab</c:v>
                </c:pt>
                <c:pt idx="3">
                  <c:v>2036 xAI + Space DC</c:v>
                </c:pt>
                <c:pt idx="4">
                  <c:v>2036 Frontier Lab</c:v>
                </c:pt>
                <c:pt idx="5">
                  <c:v>2051 xAI + Space DC</c:v>
                </c:pt>
                <c:pt idx="6">
                  <c:v>2051 Frontier Lab</c:v>
                </c:pt>
              </c:strCache>
            </c:strRef>
          </c:cat>
          <c:val>
            <c:numRef>
              <c:f>'Revenue and Profit'!$E$105:$E$111</c:f>
              <c:numCache>
                <c:formatCode>\$0.00</c:formatCode>
                <c:ptCount val="7"/>
                <c:pt idx="0">
                  <c:v>0</c:v>
                </c:pt>
                <c:pt idx="1">
                  <c:v>6.6013515660809787</c:v>
                </c:pt>
                <c:pt idx="2">
                  <c:v>6.6013515660809787</c:v>
                </c:pt>
                <c:pt idx="3">
                  <c:v>21.970712586179253</c:v>
                </c:pt>
                <c:pt idx="4">
                  <c:v>21.970712586179253</c:v>
                </c:pt>
                <c:pt idx="5">
                  <c:v>65.007273469387769</c:v>
                </c:pt>
                <c:pt idx="6">
                  <c:v>65.007273469387769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E-441A-914F-A18496954488}"/>
            </c:ext>
          </c:extLst>
        </c:ser>
        <c:ser>
          <c:idx val="1"/>
          <c:order val="1"/>
          <c:tx>
            <c:v>Expense</c:v>
          </c:tx>
          <c:spPr>
            <a:solidFill>
              <a:srgbClr val="ED7D31"/>
            </a:solidFill>
            <a:ln>
              <a:solidFill>
                <a:srgbClr val="ED7D31"/>
              </a:solidFill>
            </a:ln>
          </c:spPr>
          <c:invertIfNegative val="0"/>
          <c:cat>
            <c:strRef>
              <c:f>'Revenue and Profit'!$D$105:$D$111</c:f>
              <c:strCache>
                <c:ptCount val="7"/>
                <c:pt idx="1">
                  <c:v>2026 xAI + Space DC</c:v>
                </c:pt>
                <c:pt idx="2">
                  <c:v>2026 Frontier Lab</c:v>
                </c:pt>
                <c:pt idx="3">
                  <c:v>2036 xAI + Space DC</c:v>
                </c:pt>
                <c:pt idx="4">
                  <c:v>2036 Frontier Lab</c:v>
                </c:pt>
                <c:pt idx="5">
                  <c:v>2051 xAI + Space DC</c:v>
                </c:pt>
                <c:pt idx="6">
                  <c:v>2051 Frontier Lab</c:v>
                </c:pt>
              </c:strCache>
            </c:strRef>
          </c:cat>
          <c:val>
            <c:numRef>
              <c:f>'Revenue and Profit'!$F$105:$F$111</c:f>
              <c:numCache>
                <c:formatCode>\$0.00</c:formatCode>
                <c:ptCount val="7"/>
                <c:pt idx="0">
                  <c:v>0</c:v>
                </c:pt>
                <c:pt idx="1">
                  <c:v>16.160663516935891</c:v>
                </c:pt>
                <c:pt idx="2">
                  <c:v>11.222297662337663</c:v>
                </c:pt>
                <c:pt idx="3">
                  <c:v>18.733963017517024</c:v>
                </c:pt>
                <c:pt idx="4">
                  <c:v>19.773641327561329</c:v>
                </c:pt>
                <c:pt idx="5">
                  <c:v>40.81294680764627</c:v>
                </c:pt>
                <c:pt idx="6">
                  <c:v>45.505091428571433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BE-441A-914F-A18496954488}"/>
            </c:ext>
          </c:extLst>
        </c:ser>
        <c:ser>
          <c:idx val="2"/>
          <c:order val="2"/>
          <c:tx>
            <c:v>Profit</c:v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0"/>
          <c:cat>
            <c:strRef>
              <c:f>'Revenue and Profit'!$D$105:$D$111</c:f>
              <c:strCache>
                <c:ptCount val="7"/>
                <c:pt idx="1">
                  <c:v>2026 xAI + Space DC</c:v>
                </c:pt>
                <c:pt idx="2">
                  <c:v>2026 Frontier Lab</c:v>
                </c:pt>
                <c:pt idx="3">
                  <c:v>2036 xAI + Space DC</c:v>
                </c:pt>
                <c:pt idx="4">
                  <c:v>2036 Frontier Lab</c:v>
                </c:pt>
                <c:pt idx="5">
                  <c:v>2051 xAI + Space DC</c:v>
                </c:pt>
                <c:pt idx="6">
                  <c:v>2051 Frontier Lab</c:v>
                </c:pt>
              </c:strCache>
            </c:strRef>
          </c:cat>
          <c:val>
            <c:numRef>
              <c:f>'Revenue and Profit'!$G$105:$G$111</c:f>
              <c:numCache>
                <c:formatCode>\$0.00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3.2367495686622298</c:v>
                </c:pt>
                <c:pt idx="4">
                  <c:v>2.1970712586179246</c:v>
                </c:pt>
                <c:pt idx="5">
                  <c:v>24.194326661741499</c:v>
                </c:pt>
                <c:pt idx="6">
                  <c:v>19.502182040816336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BE-441A-914F-A18496954488}"/>
            </c:ext>
          </c:extLst>
        </c:ser>
        <c:ser>
          <c:idx val="3"/>
          <c:order val="3"/>
          <c:tx>
            <c:v>Loss</c:v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</c:spPr>
          <c:invertIfNegative val="0"/>
          <c:cat>
            <c:strRef>
              <c:f>'Revenue and Profit'!$D$105:$D$111</c:f>
              <c:strCache>
                <c:ptCount val="7"/>
                <c:pt idx="1">
                  <c:v>2026 xAI + Space DC</c:v>
                </c:pt>
                <c:pt idx="2">
                  <c:v>2026 Frontier Lab</c:v>
                </c:pt>
                <c:pt idx="3">
                  <c:v>2036 xAI + Space DC</c:v>
                </c:pt>
                <c:pt idx="4">
                  <c:v>2036 Frontier Lab</c:v>
                </c:pt>
                <c:pt idx="5">
                  <c:v>2051 xAI + Space DC</c:v>
                </c:pt>
                <c:pt idx="6">
                  <c:v>2051 Frontier Lab</c:v>
                </c:pt>
              </c:strCache>
            </c:strRef>
          </c:cat>
          <c:val>
            <c:numRef>
              <c:f>'Revenue and Profit'!$H$105:$H$111</c:f>
              <c:numCache>
                <c:formatCode>\$0.00</c:formatCode>
                <c:ptCount val="7"/>
                <c:pt idx="0">
                  <c:v>0</c:v>
                </c:pt>
                <c:pt idx="1">
                  <c:v>-9.5593119508549123</c:v>
                </c:pt>
                <c:pt idx="2">
                  <c:v>-4.6209460962566844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BE-441A-914F-A18496954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low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Value ($/W-year)</a:t>
                </a:r>
              </a:p>
            </c:rich>
          </c:tx>
          <c:overlay val="0"/>
        </c:title>
        <c:numFmt formatCode="\$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675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xAI + Space Datacenter vs Surveillance Network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invertIfNegative val="0"/>
          <c:cat>
            <c:strRef>
              <c:f>'Revenue and Profit'!$I$105:$I$111</c:f>
              <c:strCache>
                <c:ptCount val="7"/>
                <c:pt idx="1">
                  <c:v>2026 xAI + Space DC</c:v>
                </c:pt>
                <c:pt idx="2">
                  <c:v>2026 Surveillance</c:v>
                </c:pt>
                <c:pt idx="3">
                  <c:v>2036 xAI + Space DC</c:v>
                </c:pt>
                <c:pt idx="4">
                  <c:v>2036 Surveillance</c:v>
                </c:pt>
                <c:pt idx="5">
                  <c:v>2051 xAI + Space DC</c:v>
                </c:pt>
                <c:pt idx="6">
                  <c:v>2051 Surveillance</c:v>
                </c:pt>
              </c:strCache>
            </c:strRef>
          </c:cat>
          <c:val>
            <c:numRef>
              <c:f>'Revenue and Profit'!$J$105:$J$111</c:f>
              <c:numCache>
                <c:formatCode>\$0.00</c:formatCode>
                <c:ptCount val="7"/>
                <c:pt idx="0">
                  <c:v>0</c:v>
                </c:pt>
                <c:pt idx="1">
                  <c:v>6.6013515660809787</c:v>
                </c:pt>
                <c:pt idx="2">
                  <c:v>19.804054698242936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7D-41F7-9204-290B62E55081}"/>
            </c:ext>
          </c:extLst>
        </c:ser>
        <c:ser>
          <c:idx val="1"/>
          <c:order val="1"/>
          <c:tx>
            <c:v>Expense</c:v>
          </c:tx>
          <c:spPr>
            <a:solidFill>
              <a:srgbClr val="ED7D31"/>
            </a:solidFill>
            <a:ln>
              <a:solidFill>
                <a:srgbClr val="ED7D31"/>
              </a:solidFill>
            </a:ln>
          </c:spPr>
          <c:invertIfNegative val="0"/>
          <c:cat>
            <c:strRef>
              <c:f>'Revenue and Profit'!$I$105:$I$111</c:f>
              <c:strCache>
                <c:ptCount val="7"/>
                <c:pt idx="1">
                  <c:v>2026 xAI + Space DC</c:v>
                </c:pt>
                <c:pt idx="2">
                  <c:v>2026 Surveillance</c:v>
                </c:pt>
                <c:pt idx="3">
                  <c:v>2036 xAI + Space DC</c:v>
                </c:pt>
                <c:pt idx="4">
                  <c:v>2036 Surveillance</c:v>
                </c:pt>
                <c:pt idx="5">
                  <c:v>2051 xAI + Space DC</c:v>
                </c:pt>
                <c:pt idx="6">
                  <c:v>2051 Surveillance</c:v>
                </c:pt>
              </c:strCache>
            </c:strRef>
          </c:cat>
          <c:val>
            <c:numRef>
              <c:f>'Revenue and Profit'!$K$105:$K$111</c:f>
              <c:numCache>
                <c:formatCode>\$0.00</c:formatCode>
                <c:ptCount val="7"/>
                <c:pt idx="0">
                  <c:v>0</c:v>
                </c:pt>
                <c:pt idx="1">
                  <c:v>16.160663516935891</c:v>
                </c:pt>
                <c:pt idx="2">
                  <c:v>16.160663516935891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7D-41F7-9204-290B62E55081}"/>
            </c:ext>
          </c:extLst>
        </c:ser>
        <c:ser>
          <c:idx val="2"/>
          <c:order val="2"/>
          <c:tx>
            <c:v>Profit</c:v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0"/>
          <c:cat>
            <c:strRef>
              <c:f>'Revenue and Profit'!$I$105:$I$111</c:f>
              <c:strCache>
                <c:ptCount val="7"/>
                <c:pt idx="1">
                  <c:v>2026 xAI + Space DC</c:v>
                </c:pt>
                <c:pt idx="2">
                  <c:v>2026 Surveillance</c:v>
                </c:pt>
                <c:pt idx="3">
                  <c:v>2036 xAI + Space DC</c:v>
                </c:pt>
                <c:pt idx="4">
                  <c:v>2036 Surveillance</c:v>
                </c:pt>
                <c:pt idx="5">
                  <c:v>2051 xAI + Space DC</c:v>
                </c:pt>
                <c:pt idx="6">
                  <c:v>2051 Surveillance</c:v>
                </c:pt>
              </c:strCache>
            </c:strRef>
          </c:cat>
          <c:val>
            <c:numRef>
              <c:f>'Revenue and Profit'!$L$105:$L$111</c:f>
              <c:numCache>
                <c:formatCode>\$0.00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3.6433911813070452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7D-41F7-9204-290B62E55081}"/>
            </c:ext>
          </c:extLst>
        </c:ser>
        <c:ser>
          <c:idx val="3"/>
          <c:order val="3"/>
          <c:tx>
            <c:v>Loss</c:v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</c:spPr>
          <c:invertIfNegative val="0"/>
          <c:cat>
            <c:strRef>
              <c:f>'Revenue and Profit'!$I$105:$I$111</c:f>
              <c:strCache>
                <c:ptCount val="7"/>
                <c:pt idx="1">
                  <c:v>2026 xAI + Space DC</c:v>
                </c:pt>
                <c:pt idx="2">
                  <c:v>2026 Surveillance</c:v>
                </c:pt>
                <c:pt idx="3">
                  <c:v>2036 xAI + Space DC</c:v>
                </c:pt>
                <c:pt idx="4">
                  <c:v>2036 Surveillance</c:v>
                </c:pt>
                <c:pt idx="5">
                  <c:v>2051 xAI + Space DC</c:v>
                </c:pt>
                <c:pt idx="6">
                  <c:v>2051 Surveillance</c:v>
                </c:pt>
              </c:strCache>
            </c:strRef>
          </c:cat>
          <c:val>
            <c:numRef>
              <c:f>'Revenue and Profit'!$M$105:$M$111</c:f>
              <c:numCache>
                <c:formatCode>\$0.00</c:formatCode>
                <c:ptCount val="7"/>
                <c:pt idx="0">
                  <c:v>0</c:v>
                </c:pt>
                <c:pt idx="1">
                  <c:v>-9.5593119508549123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7D-41F7-9204-290B62E55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low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Value ($/W-year)</a:t>
                </a:r>
              </a:p>
            </c:rich>
          </c:tx>
          <c:overlay val="0"/>
        </c:title>
        <c:numFmt formatCode="\$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675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xAI + Custom Silicon vs Cloud Provider (Nvidia COGS)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invertIfNegative val="0"/>
          <c:cat>
            <c:strRef>
              <c:f>'Revenue and Profit'!$D$115:$D$121</c:f>
              <c:strCache>
                <c:ptCount val="7"/>
                <c:pt idx="1">
                  <c:v>2026 xAI Custom</c:v>
                </c:pt>
                <c:pt idx="2">
                  <c:v>2026 Cloud Provider</c:v>
                </c:pt>
                <c:pt idx="3">
                  <c:v>2036 xAI Custom</c:v>
                </c:pt>
                <c:pt idx="4">
                  <c:v>2036 Cloud Provider</c:v>
                </c:pt>
                <c:pt idx="5">
                  <c:v>2051 xAI Custom</c:v>
                </c:pt>
                <c:pt idx="6">
                  <c:v>2051 Cloud Provider</c:v>
                </c:pt>
              </c:strCache>
            </c:strRef>
          </c:cat>
          <c:val>
            <c:numRef>
              <c:f>'Revenue and Profit'!$E$115:$E$121</c:f>
              <c:numCache>
                <c:formatCode>\$0.00</c:formatCode>
                <c:ptCount val="7"/>
                <c:pt idx="0">
                  <c:v>0</c:v>
                </c:pt>
                <c:pt idx="1">
                  <c:v>16.658412545454549</c:v>
                </c:pt>
                <c:pt idx="2">
                  <c:v>15.865154805194807</c:v>
                </c:pt>
                <c:pt idx="3">
                  <c:v>19.043343053391059</c:v>
                </c:pt>
                <c:pt idx="4">
                  <c:v>29.297450851370858</c:v>
                </c:pt>
                <c:pt idx="5">
                  <c:v>41.588769142857146</c:v>
                </c:pt>
                <c:pt idx="6">
                  <c:v>69.314615238095243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7D-45BC-BC89-2A2FB8FBED36}"/>
            </c:ext>
          </c:extLst>
        </c:ser>
        <c:ser>
          <c:idx val="1"/>
          <c:order val="1"/>
          <c:tx>
            <c:v>Expense</c:v>
          </c:tx>
          <c:spPr>
            <a:solidFill>
              <a:srgbClr val="ED7D31"/>
            </a:solidFill>
            <a:ln>
              <a:solidFill>
                <a:srgbClr val="ED7D31"/>
              </a:solidFill>
            </a:ln>
          </c:spPr>
          <c:invertIfNegative val="0"/>
          <c:cat>
            <c:strRef>
              <c:f>'Revenue and Profit'!$D$115:$D$121</c:f>
              <c:strCache>
                <c:ptCount val="7"/>
                <c:pt idx="1">
                  <c:v>2026 xAI Custom</c:v>
                </c:pt>
                <c:pt idx="2">
                  <c:v>2026 Cloud Provider</c:v>
                </c:pt>
                <c:pt idx="3">
                  <c:v>2036 xAI Custom</c:v>
                </c:pt>
                <c:pt idx="4">
                  <c:v>2036 Cloud Provider</c:v>
                </c:pt>
                <c:pt idx="5">
                  <c:v>2051 xAI Custom</c:v>
                </c:pt>
                <c:pt idx="6">
                  <c:v>2051 Cloud Provider</c:v>
                </c:pt>
              </c:strCache>
            </c:strRef>
          </c:cat>
          <c:val>
            <c:numRef>
              <c:f>'Revenue and Profit'!$F$115:$F$121</c:f>
              <c:numCache>
                <c:formatCode>\$0.00</c:formatCode>
                <c:ptCount val="7"/>
                <c:pt idx="0">
                  <c:v>0</c:v>
                </c:pt>
                <c:pt idx="1">
                  <c:v>16.160663516935891</c:v>
                </c:pt>
                <c:pt idx="2">
                  <c:v>11.105608363636364</c:v>
                </c:pt>
                <c:pt idx="3">
                  <c:v>18.733963017517024</c:v>
                </c:pt>
                <c:pt idx="4">
                  <c:v>20.508215595959598</c:v>
                </c:pt>
                <c:pt idx="5">
                  <c:v>40.81294680764627</c:v>
                </c:pt>
                <c:pt idx="6">
                  <c:v>48.520230666666663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7D-45BC-BC89-2A2FB8FBED36}"/>
            </c:ext>
          </c:extLst>
        </c:ser>
        <c:ser>
          <c:idx val="2"/>
          <c:order val="2"/>
          <c:tx>
            <c:v>Profit</c:v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0"/>
          <c:cat>
            <c:strRef>
              <c:f>'Revenue and Profit'!$D$115:$D$121</c:f>
              <c:strCache>
                <c:ptCount val="7"/>
                <c:pt idx="1">
                  <c:v>2026 xAI Custom</c:v>
                </c:pt>
                <c:pt idx="2">
                  <c:v>2026 Cloud Provider</c:v>
                </c:pt>
                <c:pt idx="3">
                  <c:v>2036 xAI Custom</c:v>
                </c:pt>
                <c:pt idx="4">
                  <c:v>2036 Cloud Provider</c:v>
                </c:pt>
                <c:pt idx="5">
                  <c:v>2051 xAI Custom</c:v>
                </c:pt>
                <c:pt idx="6">
                  <c:v>2051 Cloud Provider</c:v>
                </c:pt>
              </c:strCache>
            </c:strRef>
          </c:cat>
          <c:val>
            <c:numRef>
              <c:f>'Revenue and Profit'!$G$115:$G$121</c:f>
              <c:numCache>
                <c:formatCode>\$0.00</c:formatCode>
                <c:ptCount val="7"/>
                <c:pt idx="0">
                  <c:v>0</c:v>
                </c:pt>
                <c:pt idx="1">
                  <c:v>0.49774902851865832</c:v>
                </c:pt>
                <c:pt idx="2">
                  <c:v>4.7595464415584416</c:v>
                </c:pt>
                <c:pt idx="3">
                  <c:v>0.30938003587403529</c:v>
                </c:pt>
                <c:pt idx="4">
                  <c:v>8.7892352554112563</c:v>
                </c:pt>
                <c:pt idx="5">
                  <c:v>0.77582233521087574</c:v>
                </c:pt>
                <c:pt idx="6">
                  <c:v>20.794384571428573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7D-45BC-BC89-2A2FB8FBED36}"/>
            </c:ext>
          </c:extLst>
        </c:ser>
        <c:ser>
          <c:idx val="3"/>
          <c:order val="3"/>
          <c:tx>
            <c:v>Loss</c:v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</c:spPr>
          <c:invertIfNegative val="0"/>
          <c:cat>
            <c:strRef>
              <c:f>'Revenue and Profit'!$D$115:$D$121</c:f>
              <c:strCache>
                <c:ptCount val="7"/>
                <c:pt idx="1">
                  <c:v>2026 xAI Custom</c:v>
                </c:pt>
                <c:pt idx="2">
                  <c:v>2026 Cloud Provider</c:v>
                </c:pt>
                <c:pt idx="3">
                  <c:v>2036 xAI Custom</c:v>
                </c:pt>
                <c:pt idx="4">
                  <c:v>2036 Cloud Provider</c:v>
                </c:pt>
                <c:pt idx="5">
                  <c:v>2051 xAI Custom</c:v>
                </c:pt>
                <c:pt idx="6">
                  <c:v>2051 Cloud Provider</c:v>
                </c:pt>
              </c:strCache>
            </c:strRef>
          </c:cat>
          <c:val>
            <c:numRef>
              <c:f>'Revenue and Profit'!$H$115:$H$121</c:f>
              <c:numCache>
                <c:formatCode>\$0.00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7D-45BC-BC89-2A2FB8FBE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low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Value ($/W-year)</a:t>
                </a:r>
              </a:p>
            </c:rich>
          </c:tx>
          <c:overlay val="0"/>
        </c:title>
        <c:numFmt formatCode="\$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675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SpaceX Full Stack vs Cloud Provider (Nvidia + TSMC COGS)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invertIfNegative val="0"/>
          <c:cat>
            <c:strRef>
              <c:f>'Revenue and Profit'!$I$115:$I$121</c:f>
              <c:strCache>
                <c:ptCount val="7"/>
                <c:pt idx="1">
                  <c:v>2026 SpaceX</c:v>
                </c:pt>
                <c:pt idx="2">
                  <c:v>2026 Cloud Provider</c:v>
                </c:pt>
                <c:pt idx="3">
                  <c:v>2036 SpaceX</c:v>
                </c:pt>
                <c:pt idx="4">
                  <c:v>2036 Cloud Provider</c:v>
                </c:pt>
                <c:pt idx="5">
                  <c:v>2051 SpaceX</c:v>
                </c:pt>
                <c:pt idx="6">
                  <c:v>2051 Cloud Provider</c:v>
                </c:pt>
              </c:strCache>
            </c:strRef>
          </c:cat>
          <c:val>
            <c:numRef>
              <c:f>'Revenue and Profit'!$J$115:$J$121</c:f>
              <c:numCache>
                <c:formatCode>\$0.00</c:formatCode>
                <c:ptCount val="7"/>
                <c:pt idx="0">
                  <c:v>0</c:v>
                </c:pt>
                <c:pt idx="1">
                  <c:v>16.515403558441559</c:v>
                </c:pt>
                <c:pt idx="2">
                  <c:v>17.384635324675326</c:v>
                </c:pt>
                <c:pt idx="3">
                  <c:v>19.448600380952382</c:v>
                </c:pt>
                <c:pt idx="4">
                  <c:v>32.41433396825397</c:v>
                </c:pt>
                <c:pt idx="5">
                  <c:v>42.408752666666672</c:v>
                </c:pt>
                <c:pt idx="6">
                  <c:v>77.106823030303033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91-467E-90EF-3DB380D11921}"/>
            </c:ext>
          </c:extLst>
        </c:ser>
        <c:ser>
          <c:idx val="1"/>
          <c:order val="1"/>
          <c:tx>
            <c:v>Expense</c:v>
          </c:tx>
          <c:spPr>
            <a:solidFill>
              <a:srgbClr val="ED7D31"/>
            </a:solidFill>
            <a:ln>
              <a:solidFill>
                <a:srgbClr val="ED7D31"/>
              </a:solidFill>
            </a:ln>
          </c:spPr>
          <c:invertIfNegative val="0"/>
          <c:cat>
            <c:strRef>
              <c:f>'Revenue and Profit'!$I$115:$I$121</c:f>
              <c:strCache>
                <c:ptCount val="7"/>
                <c:pt idx="1">
                  <c:v>2026 SpaceX</c:v>
                </c:pt>
                <c:pt idx="2">
                  <c:v>2026 Cloud Provider</c:v>
                </c:pt>
                <c:pt idx="3">
                  <c:v>2036 SpaceX</c:v>
                </c:pt>
                <c:pt idx="4">
                  <c:v>2036 Cloud Provider</c:v>
                </c:pt>
                <c:pt idx="5">
                  <c:v>2051 SpaceX</c:v>
                </c:pt>
                <c:pt idx="6">
                  <c:v>2051 Cloud Provider</c:v>
                </c:pt>
              </c:strCache>
            </c:strRef>
          </c:cat>
          <c:val>
            <c:numRef>
              <c:f>'Revenue and Profit'!$K$115:$K$121</c:f>
              <c:numCache>
                <c:formatCode>\$0.00</c:formatCode>
                <c:ptCount val="7"/>
                <c:pt idx="0">
                  <c:v>0</c:v>
                </c:pt>
                <c:pt idx="1">
                  <c:v>16.160663516935891</c:v>
                </c:pt>
                <c:pt idx="2">
                  <c:v>12.169244727272726</c:v>
                </c:pt>
                <c:pt idx="3">
                  <c:v>18.733963017517024</c:v>
                </c:pt>
                <c:pt idx="4">
                  <c:v>22.690033777777778</c:v>
                </c:pt>
                <c:pt idx="5">
                  <c:v>40.81294680764627</c:v>
                </c:pt>
                <c:pt idx="6">
                  <c:v>53.974776121212116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91-467E-90EF-3DB380D11921}"/>
            </c:ext>
          </c:extLst>
        </c:ser>
        <c:ser>
          <c:idx val="2"/>
          <c:order val="2"/>
          <c:tx>
            <c:v>Profit</c:v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</c:spPr>
          <c:invertIfNegative val="0"/>
          <c:cat>
            <c:strRef>
              <c:f>'Revenue and Profit'!$I$115:$I$121</c:f>
              <c:strCache>
                <c:ptCount val="7"/>
                <c:pt idx="1">
                  <c:v>2026 SpaceX</c:v>
                </c:pt>
                <c:pt idx="2">
                  <c:v>2026 Cloud Provider</c:v>
                </c:pt>
                <c:pt idx="3">
                  <c:v>2036 SpaceX</c:v>
                </c:pt>
                <c:pt idx="4">
                  <c:v>2036 Cloud Provider</c:v>
                </c:pt>
                <c:pt idx="5">
                  <c:v>2051 SpaceX</c:v>
                </c:pt>
                <c:pt idx="6">
                  <c:v>2051 Cloud Provider</c:v>
                </c:pt>
              </c:strCache>
            </c:strRef>
          </c:cat>
          <c:val>
            <c:numRef>
              <c:f>'Revenue and Profit'!$L$115:$L$121</c:f>
              <c:numCache>
                <c:formatCode>\$0.00</c:formatCode>
                <c:ptCount val="7"/>
                <c:pt idx="0">
                  <c:v>0</c:v>
                </c:pt>
                <c:pt idx="1">
                  <c:v>0.35474004150566785</c:v>
                </c:pt>
                <c:pt idx="2">
                  <c:v>5.2153905974025978</c:v>
                </c:pt>
                <c:pt idx="3">
                  <c:v>0.714637363435358</c:v>
                </c:pt>
                <c:pt idx="4">
                  <c:v>9.7243001904761908</c:v>
                </c:pt>
                <c:pt idx="5">
                  <c:v>1.5958058590204018</c:v>
                </c:pt>
                <c:pt idx="6">
                  <c:v>23.13204690909091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91-467E-90EF-3DB380D11921}"/>
            </c:ext>
          </c:extLst>
        </c:ser>
        <c:ser>
          <c:idx val="3"/>
          <c:order val="3"/>
          <c:tx>
            <c:v>Loss</c:v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</c:spPr>
          <c:invertIfNegative val="0"/>
          <c:cat>
            <c:strRef>
              <c:f>'Revenue and Profit'!$I$115:$I$121</c:f>
              <c:strCache>
                <c:ptCount val="7"/>
                <c:pt idx="1">
                  <c:v>2026 SpaceX</c:v>
                </c:pt>
                <c:pt idx="2">
                  <c:v>2026 Cloud Provider</c:v>
                </c:pt>
                <c:pt idx="3">
                  <c:v>2036 SpaceX</c:v>
                </c:pt>
                <c:pt idx="4">
                  <c:v>2036 Cloud Provider</c:v>
                </c:pt>
                <c:pt idx="5">
                  <c:v>2051 SpaceX</c:v>
                </c:pt>
                <c:pt idx="6">
                  <c:v>2051 Cloud Provider</c:v>
                </c:pt>
              </c:strCache>
            </c:strRef>
          </c:cat>
          <c:val>
            <c:numRef>
              <c:f>'Revenue and Profit'!$M$115:$M$121</c:f>
              <c:numCache>
                <c:formatCode>\$0.00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91-467E-90EF-3DB380D11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low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Value ($/W-year)</a:t>
                </a:r>
              </a:p>
            </c:rich>
          </c:tx>
          <c:overlay val="0"/>
        </c:title>
        <c:numFmt formatCode="\$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675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72</xdr:row>
      <xdr:rowOff>0</xdr:rowOff>
    </xdr:from>
    <xdr:to>
      <xdr:col>14</xdr:col>
      <xdr:colOff>0</xdr:colOff>
      <xdr:row>99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77</xdr:row>
      <xdr:rowOff>0</xdr:rowOff>
    </xdr:from>
    <xdr:ext cx="3429000" cy="2857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77</xdr:row>
      <xdr:rowOff>0</xdr:rowOff>
    </xdr:from>
    <xdr:ext cx="3429000" cy="28575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99</xdr:row>
      <xdr:rowOff>0</xdr:rowOff>
    </xdr:from>
    <xdr:ext cx="3429000" cy="2857500"/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0</xdr:colOff>
      <xdr:row>99</xdr:row>
      <xdr:rowOff>0</xdr:rowOff>
    </xdr:from>
    <xdr:ext cx="3429000" cy="2857500"/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3</xdr:col>
      <xdr:colOff>0</xdr:colOff>
      <xdr:row>121</xdr:row>
      <xdr:rowOff>0</xdr:rowOff>
    </xdr:from>
    <xdr:ext cx="3429000" cy="2857500"/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11</xdr:col>
      <xdr:colOff>0</xdr:colOff>
      <xdr:row>121</xdr:row>
      <xdr:rowOff>0</xdr:rowOff>
    </xdr:from>
    <xdr:ext cx="3429000" cy="2857500"/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17</xdr:row>
      <xdr:rowOff>44450</xdr:rowOff>
    </xdr:from>
    <xdr:ext cx="5537200" cy="315595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0</xdr:colOff>
      <xdr:row>35</xdr:row>
      <xdr:rowOff>0</xdr:rowOff>
    </xdr:from>
    <xdr:ext cx="7156450" cy="332105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15</xdr:col>
      <xdr:colOff>0</xdr:colOff>
      <xdr:row>53</xdr:row>
      <xdr:rowOff>0</xdr:rowOff>
    </xdr:from>
    <xdr:ext cx="6604000" cy="3835400"/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15</xdr:col>
      <xdr:colOff>0</xdr:colOff>
      <xdr:row>75</xdr:row>
      <xdr:rowOff>0</xdr:rowOff>
    </xdr:from>
    <xdr:ext cx="6559550" cy="4235450"/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5"/>
  <sheetViews>
    <sheetView showGridLines="0" topLeftCell="A55" workbookViewId="0"/>
  </sheetViews>
  <sheetFormatPr defaultRowHeight="14.5" x14ac:dyDescent="0.35"/>
  <cols>
    <col min="1" max="3" width="1.54296875" customWidth="1"/>
    <col min="4" max="4" width="46.453125" customWidth="1"/>
    <col min="5" max="6" width="1.54296875" customWidth="1"/>
    <col min="7" max="7" width="17.08984375" customWidth="1"/>
    <col min="8" max="8" width="1.54296875" customWidth="1"/>
    <col min="9" max="9" width="15.26953125" customWidth="1"/>
    <col min="10" max="10" width="1.54296875" customWidth="1"/>
    <col min="11" max="11" width="15.26953125" customWidth="1"/>
    <col min="12" max="12" width="1.54296875" customWidth="1"/>
    <col min="13" max="13" width="15.26953125" customWidth="1"/>
    <col min="14" max="14" width="60.7265625" customWidth="1"/>
  </cols>
  <sheetData>
    <row r="1" spans="1:21" x14ac:dyDescent="0.35">
      <c r="A1" s="5"/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139"/>
      <c r="O1" s="139"/>
      <c r="P1" s="139"/>
      <c r="Q1" s="139"/>
      <c r="R1" s="139"/>
      <c r="S1" s="139"/>
      <c r="T1" s="139"/>
      <c r="U1" s="139"/>
    </row>
    <row r="2" spans="1:21" x14ac:dyDescent="0.35">
      <c r="A2" s="5"/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139"/>
      <c r="O2" s="139"/>
      <c r="P2" s="139"/>
      <c r="Q2" s="139"/>
      <c r="R2" s="139"/>
      <c r="S2" s="139"/>
      <c r="T2" s="139"/>
      <c r="U2" s="139"/>
    </row>
    <row r="3" spans="1:21" x14ac:dyDescent="0.35">
      <c r="A3" s="5"/>
      <c r="B3" s="5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139"/>
      <c r="O3" s="139"/>
      <c r="P3" s="139"/>
      <c r="Q3" s="139"/>
      <c r="R3" s="139"/>
      <c r="S3" s="139"/>
      <c r="T3" s="139"/>
      <c r="U3" s="139"/>
    </row>
    <row r="4" spans="1:21" ht="16" x14ac:dyDescent="0.35">
      <c r="A4" s="5"/>
      <c r="B4" s="5"/>
      <c r="C4" s="5"/>
      <c r="D4" s="137" t="s">
        <v>0</v>
      </c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67"/>
      <c r="S4" s="67"/>
      <c r="T4" s="67"/>
      <c r="U4" s="67"/>
    </row>
    <row r="5" spans="1:21" ht="31.5" customHeight="1" x14ac:dyDescent="0.35">
      <c r="A5" s="5"/>
      <c r="B5" s="5"/>
      <c r="C5" s="5"/>
      <c r="D5" s="8"/>
      <c r="E5" s="9"/>
      <c r="F5" s="9"/>
      <c r="G5" s="9"/>
      <c r="H5" s="9"/>
      <c r="I5" s="9"/>
      <c r="J5" s="9"/>
      <c r="K5" s="9"/>
      <c r="L5" s="9"/>
      <c r="M5" s="9"/>
      <c r="N5" s="140"/>
      <c r="O5" s="140"/>
      <c r="P5" s="140"/>
      <c r="Q5" s="140"/>
      <c r="R5" s="141"/>
      <c r="S5" s="141"/>
      <c r="T5" s="141"/>
      <c r="U5" s="141"/>
    </row>
    <row r="6" spans="1:21" ht="31.5" customHeight="1" x14ac:dyDescent="0.35">
      <c r="A6" s="5"/>
      <c r="B6" s="5"/>
      <c r="C6" s="5"/>
      <c r="D6" s="10"/>
      <c r="E6" s="11"/>
      <c r="F6" s="11"/>
      <c r="G6" s="11"/>
      <c r="H6" s="11"/>
      <c r="I6" s="11"/>
      <c r="J6" s="11"/>
      <c r="K6" s="11"/>
      <c r="L6" s="11"/>
      <c r="M6" s="11"/>
      <c r="N6" s="140"/>
      <c r="O6" s="140"/>
      <c r="P6" s="140"/>
      <c r="Q6" s="140"/>
      <c r="R6" s="141"/>
      <c r="S6" s="141"/>
      <c r="T6" s="141"/>
      <c r="U6" s="141"/>
    </row>
    <row r="7" spans="1:21" x14ac:dyDescent="0.35">
      <c r="A7" s="5"/>
      <c r="B7" s="5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139"/>
      <c r="O7" s="139"/>
      <c r="P7" s="139"/>
      <c r="Q7" s="139"/>
      <c r="R7" s="141"/>
      <c r="S7" s="141"/>
      <c r="T7" s="141"/>
      <c r="U7" s="141"/>
    </row>
    <row r="8" spans="1:21" x14ac:dyDescent="0.35">
      <c r="A8" s="5"/>
      <c r="B8" s="5"/>
      <c r="C8" s="5"/>
      <c r="D8" s="12" t="s">
        <v>1</v>
      </c>
      <c r="E8" s="12"/>
      <c r="F8" s="12"/>
      <c r="G8" s="12" t="s">
        <v>2</v>
      </c>
      <c r="H8" s="12"/>
      <c r="I8" s="12" t="s">
        <v>3</v>
      </c>
      <c r="J8" s="12"/>
      <c r="K8" s="12" t="s">
        <v>4</v>
      </c>
      <c r="L8" s="12"/>
      <c r="M8" s="12" t="s">
        <v>5</v>
      </c>
      <c r="N8" s="135" t="s">
        <v>6</v>
      </c>
      <c r="O8" s="136"/>
      <c r="P8" s="136"/>
      <c r="Q8" s="136"/>
      <c r="R8" s="141"/>
      <c r="S8" s="141"/>
      <c r="T8" s="141"/>
      <c r="U8" s="141"/>
    </row>
    <row r="9" spans="1:21" x14ac:dyDescent="0.35">
      <c r="A9" s="5"/>
      <c r="B9" s="5"/>
      <c r="C9" s="5"/>
      <c r="D9" s="13"/>
      <c r="E9" s="13"/>
      <c r="F9" s="13"/>
      <c r="G9" s="13"/>
      <c r="H9" s="13"/>
      <c r="I9" s="13"/>
      <c r="J9" s="13"/>
      <c r="K9" s="13"/>
      <c r="L9" s="13"/>
      <c r="M9" s="13"/>
      <c r="N9" s="133"/>
      <c r="O9" s="134"/>
      <c r="P9" s="134"/>
      <c r="Q9" s="134"/>
      <c r="R9" s="141"/>
      <c r="S9" s="141"/>
      <c r="T9" s="141"/>
      <c r="U9" s="141"/>
    </row>
    <row r="10" spans="1:21" ht="27" customHeight="1" x14ac:dyDescent="0.35">
      <c r="A10" s="5"/>
      <c r="B10" s="5"/>
      <c r="C10" s="5"/>
      <c r="D10" s="20" t="s">
        <v>7</v>
      </c>
      <c r="E10" s="20"/>
      <c r="F10" s="20"/>
      <c r="G10" s="20" t="s">
        <v>8</v>
      </c>
      <c r="H10" s="20"/>
      <c r="I10" s="29">
        <v>6.52</v>
      </c>
      <c r="J10" s="21"/>
      <c r="K10" s="29">
        <v>6.52</v>
      </c>
      <c r="L10" s="21"/>
      <c r="M10" s="29">
        <v>6.52</v>
      </c>
      <c r="N10" s="131" t="s">
        <v>9</v>
      </c>
      <c r="O10" s="132"/>
      <c r="P10" s="132"/>
      <c r="Q10" s="132"/>
      <c r="R10" s="141"/>
      <c r="S10" s="141"/>
      <c r="T10" s="141"/>
      <c r="U10" s="141"/>
    </row>
    <row r="11" spans="1:21" ht="27" customHeight="1" x14ac:dyDescent="0.35">
      <c r="A11" s="5"/>
      <c r="B11" s="5"/>
      <c r="C11" s="5"/>
      <c r="D11" s="13" t="s">
        <v>10</v>
      </c>
      <c r="E11" s="13"/>
      <c r="F11" s="13"/>
      <c r="G11" s="13" t="s">
        <v>8</v>
      </c>
      <c r="H11" s="13"/>
      <c r="I11" s="29">
        <v>32.659999999999997</v>
      </c>
      <c r="J11" s="14"/>
      <c r="K11" s="29">
        <v>32.659999999999997</v>
      </c>
      <c r="L11" s="14"/>
      <c r="M11" s="29">
        <v>32.659999999999997</v>
      </c>
      <c r="N11" s="133" t="s">
        <v>11</v>
      </c>
      <c r="O11" s="134"/>
      <c r="P11" s="134"/>
      <c r="Q11" s="134"/>
      <c r="R11" s="141"/>
      <c r="S11" s="141"/>
      <c r="T11" s="141"/>
      <c r="U11" s="141"/>
    </row>
    <row r="12" spans="1:21" ht="27" customHeight="1" x14ac:dyDescent="0.35">
      <c r="A12" s="5"/>
      <c r="B12" s="5"/>
      <c r="C12" s="5"/>
      <c r="D12" s="20" t="s">
        <v>12</v>
      </c>
      <c r="E12" s="20"/>
      <c r="F12" s="20"/>
      <c r="G12" s="20" t="s">
        <v>13</v>
      </c>
      <c r="H12" s="20"/>
      <c r="I12" s="29">
        <v>0.9</v>
      </c>
      <c r="J12" s="21"/>
      <c r="K12" s="29">
        <v>0.9</v>
      </c>
      <c r="L12" s="21"/>
      <c r="M12" s="29">
        <v>0.9</v>
      </c>
      <c r="N12" s="131" t="s">
        <v>14</v>
      </c>
      <c r="O12" s="132"/>
      <c r="P12" s="132"/>
      <c r="Q12" s="132"/>
      <c r="R12" s="141"/>
      <c r="S12" s="141"/>
      <c r="T12" s="141"/>
      <c r="U12" s="141"/>
    </row>
    <row r="13" spans="1:21" ht="27" customHeight="1" x14ac:dyDescent="0.35">
      <c r="A13" s="5"/>
      <c r="B13" s="5"/>
      <c r="C13" s="5"/>
      <c r="D13" s="13" t="s">
        <v>15</v>
      </c>
      <c r="E13" s="13"/>
      <c r="F13" s="13"/>
      <c r="G13" s="13" t="s">
        <v>16</v>
      </c>
      <c r="H13" s="13"/>
      <c r="I13" s="30">
        <v>14.4</v>
      </c>
      <c r="J13" s="14"/>
      <c r="K13" s="30">
        <v>14.4</v>
      </c>
      <c r="L13" s="14"/>
      <c r="M13" s="30">
        <v>14.4</v>
      </c>
      <c r="N13" s="133" t="s">
        <v>17</v>
      </c>
      <c r="O13" s="134"/>
      <c r="P13" s="134"/>
      <c r="Q13" s="134"/>
      <c r="R13" s="141"/>
      <c r="S13" s="141"/>
      <c r="T13" s="141"/>
      <c r="U13" s="141"/>
    </row>
    <row r="14" spans="1:21" ht="27" customHeight="1" x14ac:dyDescent="0.35">
      <c r="A14" s="5"/>
      <c r="B14" s="5"/>
      <c r="C14" s="5"/>
      <c r="D14" s="20" t="s">
        <v>18</v>
      </c>
      <c r="E14" s="20"/>
      <c r="F14" s="20"/>
      <c r="G14" s="20" t="s">
        <v>19</v>
      </c>
      <c r="H14" s="20"/>
      <c r="I14" s="66">
        <v>330</v>
      </c>
      <c r="J14" s="22"/>
      <c r="K14" s="66">
        <v>225</v>
      </c>
      <c r="L14" s="22"/>
      <c r="M14" s="66">
        <v>214</v>
      </c>
      <c r="N14" s="131" t="s">
        <v>20</v>
      </c>
      <c r="O14" s="132"/>
      <c r="P14" s="132"/>
      <c r="Q14" s="132"/>
      <c r="R14" s="141"/>
      <c r="S14" s="141"/>
      <c r="T14" s="141"/>
      <c r="U14" s="141"/>
    </row>
    <row r="15" spans="1:21" ht="27" customHeight="1" x14ac:dyDescent="0.35">
      <c r="A15" s="5"/>
      <c r="B15" s="5"/>
      <c r="C15" s="5"/>
      <c r="D15" s="13" t="s">
        <v>21</v>
      </c>
      <c r="E15" s="13"/>
      <c r="F15" s="13"/>
      <c r="G15" s="13" t="s">
        <v>22</v>
      </c>
      <c r="H15" s="13"/>
      <c r="I15" s="30">
        <v>5</v>
      </c>
      <c r="J15" s="15"/>
      <c r="K15" s="30">
        <v>30</v>
      </c>
      <c r="L15" s="15"/>
      <c r="M15" s="30">
        <v>30</v>
      </c>
      <c r="N15" s="144" t="s">
        <v>23</v>
      </c>
      <c r="O15" s="143"/>
      <c r="P15" s="143"/>
      <c r="Q15" s="143"/>
      <c r="R15" s="141"/>
      <c r="S15" s="141"/>
      <c r="T15" s="141"/>
      <c r="U15" s="141"/>
    </row>
    <row r="16" spans="1:21" ht="27" customHeight="1" x14ac:dyDescent="0.35">
      <c r="A16" s="5"/>
      <c r="B16" s="5"/>
      <c r="C16" s="5"/>
      <c r="D16" s="20" t="s">
        <v>24</v>
      </c>
      <c r="E16" s="20"/>
      <c r="F16" s="20"/>
      <c r="G16" s="20" t="s">
        <v>25</v>
      </c>
      <c r="H16" s="20"/>
      <c r="I16" s="30">
        <v>0</v>
      </c>
      <c r="J16" s="22"/>
      <c r="K16" s="30">
        <v>0</v>
      </c>
      <c r="L16" s="22"/>
      <c r="M16" s="30">
        <v>0</v>
      </c>
      <c r="N16" s="142" t="s">
        <v>26</v>
      </c>
      <c r="O16" s="143"/>
      <c r="P16" s="143"/>
      <c r="Q16" s="143"/>
      <c r="R16" s="141"/>
      <c r="S16" s="141"/>
      <c r="T16" s="141"/>
      <c r="U16" s="141"/>
    </row>
    <row r="17" spans="1:21" ht="27" customHeight="1" x14ac:dyDescent="0.35">
      <c r="A17" s="5"/>
      <c r="B17" s="5"/>
      <c r="C17" s="5"/>
      <c r="D17" s="62"/>
      <c r="E17" s="63"/>
      <c r="F17" s="63"/>
      <c r="G17" s="63"/>
      <c r="H17" s="63"/>
      <c r="I17" s="63"/>
      <c r="J17" s="63"/>
      <c r="K17" s="63"/>
      <c r="L17" s="63"/>
      <c r="M17" s="63"/>
      <c r="N17" s="141"/>
      <c r="O17" s="141"/>
      <c r="P17" s="141"/>
      <c r="Q17" s="141"/>
      <c r="R17" s="141"/>
      <c r="S17" s="141"/>
      <c r="T17" s="141"/>
      <c r="U17" s="141"/>
    </row>
    <row r="18" spans="1:21" x14ac:dyDescent="0.35">
      <c r="A18" s="5"/>
      <c r="B18" s="5"/>
      <c r="C18" s="5"/>
      <c r="D18" s="64"/>
      <c r="E18" s="65"/>
      <c r="F18" s="65"/>
      <c r="G18" s="65"/>
      <c r="H18" s="65"/>
      <c r="I18" s="65"/>
      <c r="J18" s="65"/>
      <c r="K18" s="65"/>
      <c r="L18" s="65"/>
      <c r="M18" s="65"/>
      <c r="N18" s="141"/>
      <c r="O18" s="141"/>
      <c r="P18" s="141"/>
      <c r="Q18" s="141"/>
      <c r="R18" s="141"/>
      <c r="S18" s="141"/>
      <c r="T18" s="141"/>
      <c r="U18" s="141"/>
    </row>
    <row r="19" spans="1:21" x14ac:dyDescent="0.35">
      <c r="A19" s="5"/>
      <c r="B19" s="5"/>
      <c r="C19" s="5"/>
      <c r="D19" s="7"/>
      <c r="E19" s="7"/>
      <c r="F19" s="7"/>
      <c r="G19" s="7"/>
      <c r="H19" s="7"/>
      <c r="I19" s="7"/>
      <c r="J19" s="7"/>
      <c r="K19" s="7"/>
      <c r="L19" s="7"/>
      <c r="M19" s="7"/>
      <c r="N19" s="141"/>
      <c r="O19" s="141"/>
      <c r="P19" s="141"/>
      <c r="Q19" s="141"/>
      <c r="R19" s="141"/>
      <c r="S19" s="141"/>
      <c r="T19" s="141"/>
      <c r="U19" s="141"/>
    </row>
    <row r="20" spans="1:21" x14ac:dyDescent="0.35">
      <c r="A20" s="5"/>
      <c r="B20" s="5"/>
      <c r="C20" s="5"/>
      <c r="D20" s="12" t="s">
        <v>27</v>
      </c>
      <c r="E20" s="12"/>
      <c r="F20" s="12"/>
      <c r="G20" s="12" t="s">
        <v>2</v>
      </c>
      <c r="H20" s="12"/>
      <c r="I20" s="12" t="s">
        <v>3</v>
      </c>
      <c r="J20" s="12"/>
      <c r="K20" s="12" t="s">
        <v>4</v>
      </c>
      <c r="L20" s="12"/>
      <c r="M20" s="12" t="s">
        <v>5</v>
      </c>
      <c r="N20" s="12" t="s">
        <v>6</v>
      </c>
      <c r="O20" s="7"/>
      <c r="P20" s="7"/>
      <c r="Q20" s="7"/>
      <c r="R20" s="7"/>
      <c r="S20" s="7"/>
      <c r="T20" s="7"/>
      <c r="U20" s="7"/>
    </row>
    <row r="21" spans="1:21" x14ac:dyDescent="0.35">
      <c r="A21" s="5"/>
      <c r="B21" s="5"/>
      <c r="C21" s="5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7"/>
      <c r="P21" s="7"/>
      <c r="Q21" s="7"/>
      <c r="R21" s="7"/>
      <c r="S21" s="7"/>
      <c r="T21" s="7"/>
      <c r="U21" s="7"/>
    </row>
    <row r="22" spans="1:21" ht="25.5" customHeight="1" x14ac:dyDescent="0.35">
      <c r="A22" s="5"/>
      <c r="B22" s="5"/>
      <c r="C22" s="5"/>
      <c r="D22" s="20" t="s">
        <v>28</v>
      </c>
      <c r="E22" s="20"/>
      <c r="F22" s="20"/>
      <c r="G22" s="20" t="s">
        <v>29</v>
      </c>
      <c r="H22" s="20"/>
      <c r="I22" s="33">
        <v>2026</v>
      </c>
      <c r="J22" s="23"/>
      <c r="K22" s="33">
        <v>2036</v>
      </c>
      <c r="L22" s="23"/>
      <c r="M22" s="33">
        <v>2050</v>
      </c>
      <c r="N22" s="20" t="s">
        <v>30</v>
      </c>
      <c r="O22" s="7"/>
      <c r="P22" s="7"/>
      <c r="Q22" s="7"/>
      <c r="R22" s="7"/>
      <c r="S22" s="7"/>
      <c r="T22" s="7"/>
      <c r="U22" s="7"/>
    </row>
    <row r="23" spans="1:21" ht="25.5" customHeight="1" x14ac:dyDescent="0.35">
      <c r="A23" s="5"/>
      <c r="B23" s="5"/>
      <c r="C23" s="5"/>
      <c r="D23" s="13" t="s">
        <v>31</v>
      </c>
      <c r="E23" s="13"/>
      <c r="F23" s="13"/>
      <c r="G23" s="13" t="s">
        <v>19</v>
      </c>
      <c r="H23" s="13"/>
      <c r="I23" s="31">
        <f>'Model Detail'!C12</f>
        <v>220.14463399871153</v>
      </c>
      <c r="J23" s="15"/>
      <c r="K23" s="31">
        <f>'Model Detail'!D12</f>
        <v>170.97124453995809</v>
      </c>
      <c r="L23" s="15"/>
      <c r="M23" s="31">
        <f>'Model Detail'!E12</f>
        <v>142.69476089080587</v>
      </c>
      <c r="N23" s="13" t="s">
        <v>32</v>
      </c>
      <c r="O23" s="7"/>
      <c r="P23" s="7"/>
      <c r="Q23" s="7"/>
      <c r="R23" s="7"/>
      <c r="S23" s="7"/>
      <c r="T23" s="7"/>
      <c r="U23" s="7"/>
    </row>
    <row r="24" spans="1:21" ht="25.5" customHeight="1" x14ac:dyDescent="0.35">
      <c r="A24" s="5"/>
      <c r="B24" s="5"/>
      <c r="C24" s="5"/>
      <c r="D24" s="20" t="s">
        <v>33</v>
      </c>
      <c r="E24" s="20"/>
      <c r="F24" s="20"/>
      <c r="G24" s="20" t="s">
        <v>34</v>
      </c>
      <c r="H24" s="20"/>
      <c r="I24" s="31">
        <f>'Model Detail'!C14</f>
        <v>3.1353937487784926</v>
      </c>
      <c r="J24" s="24"/>
      <c r="K24" s="31">
        <f>'Model Detail'!D14</f>
        <v>2.8850915704544033</v>
      </c>
      <c r="L24" s="24"/>
      <c r="M24" s="31">
        <f>'Model Detail'!E14</f>
        <v>2.6670665927209396</v>
      </c>
      <c r="N24" s="20" t="s">
        <v>35</v>
      </c>
      <c r="O24" s="7"/>
      <c r="P24" s="7"/>
      <c r="Q24" s="7"/>
      <c r="R24" s="7"/>
      <c r="S24" s="7"/>
      <c r="T24" s="7"/>
      <c r="U24" s="7"/>
    </row>
    <row r="25" spans="1:21" ht="25.5" customHeight="1" x14ac:dyDescent="0.35">
      <c r="A25" s="5"/>
      <c r="B25" s="5"/>
      <c r="C25" s="5"/>
      <c r="D25" s="13" t="s">
        <v>36</v>
      </c>
      <c r="E25" s="13"/>
      <c r="F25" s="13"/>
      <c r="G25" s="13" t="s">
        <v>37</v>
      </c>
      <c r="H25" s="13"/>
      <c r="I25" s="34">
        <v>0.20599999999999999</v>
      </c>
      <c r="J25" s="16"/>
      <c r="K25" s="34">
        <v>0.26</v>
      </c>
      <c r="L25" s="16"/>
      <c r="M25" s="34">
        <v>0.28000000000000003</v>
      </c>
      <c r="N25" s="13" t="s">
        <v>38</v>
      </c>
      <c r="O25" s="7"/>
      <c r="P25" s="7"/>
      <c r="Q25" s="7"/>
      <c r="R25" s="7"/>
      <c r="S25" s="7"/>
      <c r="T25" s="7"/>
      <c r="U25" s="7"/>
    </row>
    <row r="26" spans="1:21" ht="25.5" customHeight="1" x14ac:dyDescent="0.35">
      <c r="A26" s="5"/>
      <c r="B26" s="5"/>
      <c r="C26" s="5"/>
      <c r="D26" s="20" t="s">
        <v>39</v>
      </c>
      <c r="E26" s="20"/>
      <c r="F26" s="20"/>
      <c r="G26" s="20" t="s">
        <v>37</v>
      </c>
      <c r="H26" s="20"/>
      <c r="I26" s="34">
        <f>I25*I27</f>
        <v>0.18745999999999999</v>
      </c>
      <c r="J26" s="25"/>
      <c r="K26" s="34">
        <f>K25*K27</f>
        <v>0.2366</v>
      </c>
      <c r="L26" s="25"/>
      <c r="M26" s="34">
        <f>M25*M27</f>
        <v>0.25480000000000003</v>
      </c>
      <c r="N26" s="20" t="s">
        <v>40</v>
      </c>
      <c r="O26" s="7"/>
      <c r="P26" s="7"/>
      <c r="Q26" s="7"/>
      <c r="R26" s="7"/>
      <c r="S26" s="7"/>
      <c r="T26" s="7"/>
      <c r="U26" s="7"/>
    </row>
    <row r="27" spans="1:21" ht="25.5" customHeight="1" x14ac:dyDescent="0.35">
      <c r="A27" s="5"/>
      <c r="B27" s="5"/>
      <c r="C27" s="5"/>
      <c r="D27" s="13" t="s">
        <v>41</v>
      </c>
      <c r="E27" s="13"/>
      <c r="F27" s="13"/>
      <c r="G27" s="13" t="s">
        <v>13</v>
      </c>
      <c r="H27" s="13"/>
      <c r="I27" s="29">
        <v>0.91</v>
      </c>
      <c r="J27" s="14"/>
      <c r="K27" s="29">
        <v>0.91</v>
      </c>
      <c r="L27" s="14"/>
      <c r="M27" s="29">
        <v>0.91</v>
      </c>
      <c r="N27" s="13" t="s">
        <v>42</v>
      </c>
      <c r="O27" s="7"/>
      <c r="P27" s="7"/>
      <c r="Q27" s="7"/>
      <c r="R27" s="7"/>
      <c r="S27" s="7"/>
      <c r="T27" s="7"/>
      <c r="U27" s="7"/>
    </row>
    <row r="28" spans="1:21" ht="25.5" customHeight="1" x14ac:dyDescent="0.35">
      <c r="A28" s="5"/>
      <c r="B28" s="5"/>
      <c r="C28" s="5"/>
      <c r="D28" s="20" t="s">
        <v>43</v>
      </c>
      <c r="E28" s="20"/>
      <c r="F28" s="20"/>
      <c r="G28" s="20" t="s">
        <v>44</v>
      </c>
      <c r="H28" s="20"/>
      <c r="I28" s="34">
        <v>7.0000000000000001E-3</v>
      </c>
      <c r="J28" s="25"/>
      <c r="K28" s="34">
        <v>5.0000000000000001E-3</v>
      </c>
      <c r="L28" s="25"/>
      <c r="M28" s="34">
        <v>2E-3</v>
      </c>
      <c r="N28" s="20" t="s">
        <v>45</v>
      </c>
      <c r="O28" s="7"/>
      <c r="P28" s="7"/>
      <c r="Q28" s="7"/>
      <c r="R28" s="7"/>
      <c r="S28" s="7"/>
      <c r="T28" s="7"/>
      <c r="U28" s="7"/>
    </row>
    <row r="29" spans="1:21" ht="25.5" customHeight="1" x14ac:dyDescent="0.35">
      <c r="A29" s="5"/>
      <c r="B29" s="5"/>
      <c r="C29" s="5"/>
      <c r="D29" s="13" t="s">
        <v>46</v>
      </c>
      <c r="E29" s="13"/>
      <c r="F29" s="13"/>
      <c r="G29" s="13" t="s">
        <v>44</v>
      </c>
      <c r="H29" s="13"/>
      <c r="I29" s="34">
        <v>5.6638023430845744E-2</v>
      </c>
      <c r="J29" s="16"/>
      <c r="K29" s="34">
        <v>5.6638023430845744E-2</v>
      </c>
      <c r="L29" s="16"/>
      <c r="M29" s="34">
        <v>5.6638023430845744E-2</v>
      </c>
      <c r="N29" s="13" t="s">
        <v>47</v>
      </c>
      <c r="O29" s="7"/>
      <c r="P29" s="7"/>
      <c r="Q29" s="7"/>
      <c r="R29" s="7"/>
      <c r="S29" s="7"/>
      <c r="T29" s="7"/>
      <c r="U29" s="7"/>
    </row>
    <row r="30" spans="1:21" ht="25.5" customHeight="1" x14ac:dyDescent="0.35">
      <c r="A30" s="5"/>
      <c r="B30" s="5"/>
      <c r="C30" s="5"/>
      <c r="D30" s="20" t="s">
        <v>48</v>
      </c>
      <c r="E30" s="20"/>
      <c r="F30" s="20"/>
      <c r="G30" s="20" t="s">
        <v>49</v>
      </c>
      <c r="H30" s="20"/>
      <c r="I30" s="35">
        <v>1659.3941388521046</v>
      </c>
      <c r="J30" s="26"/>
      <c r="K30" s="35">
        <v>1326.614717122475</v>
      </c>
      <c r="L30" s="26"/>
      <c r="M30" s="35">
        <v>1035.7717370242874</v>
      </c>
      <c r="N30" s="20" t="s">
        <v>50</v>
      </c>
      <c r="O30" s="7"/>
      <c r="P30" s="7"/>
      <c r="Q30" s="7"/>
      <c r="R30" s="7"/>
      <c r="S30" s="7"/>
      <c r="T30" s="7"/>
      <c r="U30" s="7"/>
    </row>
    <row r="31" spans="1:21" ht="25.5" customHeight="1" x14ac:dyDescent="0.35">
      <c r="A31" s="5"/>
      <c r="B31" s="5"/>
      <c r="C31" s="5"/>
      <c r="D31" s="13" t="s">
        <v>51</v>
      </c>
      <c r="E31" s="13"/>
      <c r="F31" s="13"/>
      <c r="G31" s="13" t="s">
        <v>52</v>
      </c>
      <c r="H31" s="13"/>
      <c r="I31" s="35">
        <v>58.498223528848015</v>
      </c>
      <c r="J31" s="17"/>
      <c r="K31" s="35">
        <v>46.766830400264908</v>
      </c>
      <c r="L31" s="17"/>
      <c r="M31" s="35">
        <v>36.513812588987442</v>
      </c>
      <c r="N31" s="13" t="s">
        <v>53</v>
      </c>
      <c r="O31" s="7"/>
      <c r="P31" s="7"/>
      <c r="Q31" s="7"/>
      <c r="R31" s="7"/>
      <c r="S31" s="7"/>
      <c r="T31" s="7"/>
      <c r="U31" s="7"/>
    </row>
    <row r="32" spans="1:21" ht="25.5" customHeight="1" x14ac:dyDescent="0.35">
      <c r="A32" s="5"/>
      <c r="B32" s="5"/>
      <c r="C32" s="5"/>
      <c r="D32" s="20" t="s">
        <v>54</v>
      </c>
      <c r="E32" s="20"/>
      <c r="F32" s="20"/>
      <c r="G32" s="20" t="s">
        <v>52</v>
      </c>
      <c r="H32" s="20"/>
      <c r="I32" s="35">
        <v>37.522397883081418</v>
      </c>
      <c r="J32" s="26"/>
      <c r="K32" s="35">
        <v>29.49619716805525</v>
      </c>
      <c r="L32" s="26"/>
      <c r="M32" s="35">
        <v>22.4814481108825</v>
      </c>
      <c r="N32" s="20" t="s">
        <v>55</v>
      </c>
      <c r="O32" s="7"/>
      <c r="P32" s="7"/>
      <c r="Q32" s="7"/>
      <c r="R32" s="7"/>
      <c r="S32" s="7"/>
      <c r="T32" s="7"/>
      <c r="U32" s="7"/>
    </row>
    <row r="33" spans="1:21" ht="25.5" customHeight="1" x14ac:dyDescent="0.35">
      <c r="A33" s="5"/>
      <c r="B33" s="5"/>
      <c r="C33" s="5"/>
      <c r="D33" s="13" t="s">
        <v>56</v>
      </c>
      <c r="E33" s="13"/>
      <c r="F33" s="13"/>
      <c r="G33" s="13" t="s">
        <v>37</v>
      </c>
      <c r="H33" s="13"/>
      <c r="I33" s="34">
        <v>0.85</v>
      </c>
      <c r="J33" s="16"/>
      <c r="K33" s="34">
        <v>0.85</v>
      </c>
      <c r="L33" s="16"/>
      <c r="M33" s="34">
        <v>0.85</v>
      </c>
      <c r="N33" s="13" t="s">
        <v>57</v>
      </c>
      <c r="O33" s="7"/>
      <c r="P33" s="7"/>
      <c r="Q33" s="7"/>
      <c r="R33" s="7"/>
      <c r="S33" s="7"/>
      <c r="T33" s="7"/>
      <c r="U33" s="7"/>
    </row>
    <row r="34" spans="1:21" ht="25.5" customHeight="1" x14ac:dyDescent="0.35">
      <c r="A34" s="5"/>
      <c r="B34" s="5"/>
      <c r="C34" s="5"/>
      <c r="D34" s="20" t="s">
        <v>58</v>
      </c>
      <c r="E34" s="20"/>
      <c r="F34" s="20"/>
      <c r="G34" s="20" t="s">
        <v>59</v>
      </c>
      <c r="H34" s="20"/>
      <c r="I34" s="36">
        <v>2.2999999999999998</v>
      </c>
      <c r="J34" s="27"/>
      <c r="K34" s="36">
        <v>2</v>
      </c>
      <c r="L34" s="27"/>
      <c r="M34" s="36">
        <v>1.8</v>
      </c>
      <c r="N34" s="20" t="s">
        <v>60</v>
      </c>
      <c r="O34" s="7"/>
      <c r="P34" s="7"/>
      <c r="Q34" s="7"/>
      <c r="R34" s="7"/>
      <c r="S34" s="7"/>
      <c r="T34" s="7"/>
      <c r="U34" s="7"/>
    </row>
    <row r="35" spans="1:21" ht="34.5" customHeight="1" x14ac:dyDescent="0.35">
      <c r="A35" s="5"/>
      <c r="B35" s="5"/>
      <c r="C35" s="5"/>
      <c r="D35" s="13" t="s">
        <v>61</v>
      </c>
      <c r="E35" s="13"/>
      <c r="F35" s="13"/>
      <c r="G35" s="13" t="s">
        <v>37</v>
      </c>
      <c r="H35" s="13"/>
      <c r="I35" s="34">
        <v>0.21</v>
      </c>
      <c r="J35" s="16"/>
      <c r="K35" s="34">
        <v>0.24</v>
      </c>
      <c r="L35" s="16"/>
      <c r="M35" s="34">
        <v>0.26</v>
      </c>
      <c r="N35" s="13" t="s">
        <v>62</v>
      </c>
      <c r="O35" s="7"/>
      <c r="P35" s="7"/>
      <c r="Q35" s="7"/>
      <c r="R35" s="7"/>
      <c r="S35" s="7"/>
      <c r="T35" s="7"/>
      <c r="U35" s="7"/>
    </row>
    <row r="36" spans="1:21" ht="25.5" customHeight="1" x14ac:dyDescent="0.35">
      <c r="A36" s="5"/>
      <c r="B36" s="5"/>
      <c r="C36" s="5"/>
      <c r="D36" s="20" t="s">
        <v>63</v>
      </c>
      <c r="E36" s="20"/>
      <c r="F36" s="20"/>
      <c r="G36" s="20" t="s">
        <v>44</v>
      </c>
      <c r="H36" s="20"/>
      <c r="I36" s="34">
        <v>1.4999999999999999E-2</v>
      </c>
      <c r="J36" s="25"/>
      <c r="K36" s="34">
        <v>0.01</v>
      </c>
      <c r="L36" s="25"/>
      <c r="M36" s="34">
        <v>7.0000000000000001E-3</v>
      </c>
      <c r="N36" s="20" t="s">
        <v>64</v>
      </c>
      <c r="O36" s="7"/>
      <c r="P36" s="7"/>
      <c r="Q36" s="7"/>
      <c r="R36" s="7"/>
      <c r="S36" s="7"/>
      <c r="T36" s="7"/>
      <c r="U36" s="7"/>
    </row>
    <row r="37" spans="1:21" ht="25.5" customHeight="1" x14ac:dyDescent="0.35">
      <c r="A37" s="5"/>
      <c r="B37" s="5"/>
      <c r="C37" s="5"/>
      <c r="D37" s="13" t="s">
        <v>65</v>
      </c>
      <c r="E37" s="13"/>
      <c r="F37" s="13"/>
      <c r="G37" s="13" t="s">
        <v>66</v>
      </c>
      <c r="H37" s="13"/>
      <c r="I37" s="37">
        <v>200</v>
      </c>
      <c r="J37" s="18"/>
      <c r="K37" s="37">
        <v>110</v>
      </c>
      <c r="L37" s="18"/>
      <c r="M37" s="37">
        <v>80</v>
      </c>
      <c r="N37" s="13" t="s">
        <v>67</v>
      </c>
      <c r="O37" s="7"/>
      <c r="P37" s="7"/>
      <c r="Q37" s="7"/>
      <c r="R37" s="7"/>
      <c r="S37" s="7"/>
      <c r="T37" s="7"/>
      <c r="U37" s="7"/>
    </row>
    <row r="38" spans="1:21" x14ac:dyDescent="0.35">
      <c r="A38" s="5"/>
      <c r="B38" s="5"/>
      <c r="C38" s="5"/>
      <c r="D38" s="20"/>
      <c r="E38" s="20"/>
      <c r="F38" s="20"/>
      <c r="G38" s="20"/>
      <c r="H38" s="20"/>
      <c r="I38" s="32"/>
      <c r="J38" s="20"/>
      <c r="K38" s="32"/>
      <c r="L38" s="20"/>
      <c r="M38" s="32"/>
      <c r="N38" s="20"/>
      <c r="O38" s="7"/>
      <c r="P38" s="7"/>
      <c r="Q38" s="7"/>
      <c r="R38" s="7"/>
      <c r="S38" s="7"/>
      <c r="T38" s="7"/>
      <c r="U38" s="7"/>
    </row>
    <row r="39" spans="1:21" x14ac:dyDescent="0.35">
      <c r="A39" s="5"/>
      <c r="B39" s="5"/>
      <c r="C39" s="5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1:21" x14ac:dyDescent="0.35">
      <c r="A40" s="5"/>
      <c r="B40" s="5"/>
      <c r="C40" s="5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 x14ac:dyDescent="0.35">
      <c r="A41" s="5"/>
      <c r="B41" s="5"/>
      <c r="C41" s="5"/>
      <c r="D41" s="12" t="s">
        <v>68</v>
      </c>
      <c r="E41" s="12"/>
      <c r="F41" s="12"/>
      <c r="G41" s="12" t="s">
        <v>2</v>
      </c>
      <c r="H41" s="12"/>
      <c r="I41" s="12" t="s">
        <v>3</v>
      </c>
      <c r="J41" s="12"/>
      <c r="K41" s="12" t="s">
        <v>4</v>
      </c>
      <c r="L41" s="12"/>
      <c r="M41" s="12" t="s">
        <v>5</v>
      </c>
      <c r="N41" s="12" t="s">
        <v>6</v>
      </c>
      <c r="O41" s="7"/>
      <c r="P41" s="7"/>
      <c r="Q41" s="7"/>
      <c r="R41" s="7"/>
      <c r="S41" s="7"/>
      <c r="T41" s="7"/>
      <c r="U41" s="7"/>
    </row>
    <row r="42" spans="1:21" x14ac:dyDescent="0.35">
      <c r="A42" s="5"/>
      <c r="B42" s="5"/>
      <c r="C42" s="5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7"/>
      <c r="P42" s="7"/>
      <c r="Q42" s="7"/>
      <c r="R42" s="7"/>
      <c r="S42" s="7"/>
      <c r="T42" s="7"/>
      <c r="U42" s="7"/>
    </row>
    <row r="43" spans="1:21" ht="27" customHeight="1" x14ac:dyDescent="0.35">
      <c r="A43" s="5"/>
      <c r="B43" s="5"/>
      <c r="C43" s="5"/>
      <c r="D43" s="13" t="s">
        <v>69</v>
      </c>
      <c r="E43" s="13"/>
      <c r="F43" s="13"/>
      <c r="G43" s="13" t="s">
        <v>66</v>
      </c>
      <c r="H43" s="13"/>
      <c r="I43" s="38">
        <v>3.4000000000000002E-2</v>
      </c>
      <c r="J43" s="19"/>
      <c r="K43" s="38">
        <v>3.5999999999999997E-2</v>
      </c>
      <c r="L43" s="19"/>
      <c r="M43" s="38">
        <v>3.7999999999999999E-2</v>
      </c>
      <c r="N43" s="13" t="s">
        <v>70</v>
      </c>
      <c r="O43" s="7"/>
      <c r="P43" s="7"/>
      <c r="Q43" s="7"/>
      <c r="R43" s="7"/>
      <c r="S43" s="7"/>
      <c r="T43" s="7"/>
      <c r="U43" s="7"/>
    </row>
    <row r="44" spans="1:21" ht="27" customHeight="1" x14ac:dyDescent="0.35">
      <c r="A44" s="5"/>
      <c r="B44" s="5"/>
      <c r="C44" s="5"/>
      <c r="D44" s="20" t="s">
        <v>71</v>
      </c>
      <c r="E44" s="20"/>
      <c r="F44" s="20"/>
      <c r="G44" s="20" t="s">
        <v>66</v>
      </c>
      <c r="H44" s="20"/>
      <c r="I44" s="38">
        <v>8.7999999999999995E-2</v>
      </c>
      <c r="J44" s="28"/>
      <c r="K44" s="38">
        <v>9.1999999999999998E-2</v>
      </c>
      <c r="L44" s="28"/>
      <c r="M44" s="38">
        <v>7.0999999999999994E-2</v>
      </c>
      <c r="N44" s="20" t="s">
        <v>72</v>
      </c>
      <c r="O44" s="7"/>
      <c r="P44" s="7"/>
      <c r="Q44" s="7"/>
      <c r="R44" s="7"/>
      <c r="S44" s="7"/>
      <c r="T44" s="7"/>
      <c r="U44" s="7"/>
    </row>
    <row r="45" spans="1:21" ht="27" customHeight="1" x14ac:dyDescent="0.35">
      <c r="A45" s="5"/>
      <c r="B45" s="5"/>
      <c r="C45" s="5"/>
      <c r="D45" s="13" t="s">
        <v>73</v>
      </c>
      <c r="E45" s="13"/>
      <c r="F45" s="13"/>
      <c r="G45" s="13" t="s">
        <v>66</v>
      </c>
      <c r="H45" s="13"/>
      <c r="I45" s="38">
        <v>3.2000000000000001E-2</v>
      </c>
      <c r="J45" s="19"/>
      <c r="K45" s="38">
        <v>3.7999999999999999E-2</v>
      </c>
      <c r="L45" s="19"/>
      <c r="M45" s="38">
        <v>0.04</v>
      </c>
      <c r="N45" s="13" t="s">
        <v>74</v>
      </c>
      <c r="O45" s="7"/>
      <c r="P45" s="7"/>
      <c r="Q45" s="7"/>
      <c r="R45" s="7"/>
      <c r="S45" s="7"/>
      <c r="T45" s="7"/>
      <c r="U45" s="7"/>
    </row>
    <row r="46" spans="1:21" ht="27" customHeight="1" x14ac:dyDescent="0.35">
      <c r="A46" s="5"/>
      <c r="B46" s="5"/>
      <c r="C46" s="5"/>
      <c r="D46" s="20" t="s">
        <v>75</v>
      </c>
      <c r="E46" s="20"/>
      <c r="F46" s="20"/>
      <c r="G46" s="20" t="s">
        <v>66</v>
      </c>
      <c r="H46" s="20"/>
      <c r="I46" s="38">
        <v>7.6999999999999999E-2</v>
      </c>
      <c r="J46" s="28"/>
      <c r="K46" s="38">
        <v>7.0000000000000007E-2</v>
      </c>
      <c r="L46" s="28"/>
      <c r="M46" s="38">
        <v>6.5000000000000002E-2</v>
      </c>
      <c r="N46" s="20" t="s">
        <v>76</v>
      </c>
      <c r="O46" s="7"/>
      <c r="P46" s="7"/>
      <c r="Q46" s="7"/>
      <c r="R46" s="7"/>
      <c r="S46" s="7"/>
      <c r="T46" s="7"/>
      <c r="U46" s="7"/>
    </row>
    <row r="47" spans="1:21" ht="27" customHeight="1" x14ac:dyDescent="0.35">
      <c r="A47" s="5"/>
      <c r="B47" s="5"/>
      <c r="C47" s="5"/>
      <c r="D47" s="13" t="s">
        <v>77</v>
      </c>
      <c r="E47" s="13"/>
      <c r="F47" s="13"/>
      <c r="G47" s="13" t="s">
        <v>66</v>
      </c>
      <c r="H47" s="13"/>
      <c r="I47" s="38">
        <v>7.2999999999999995E-2</v>
      </c>
      <c r="J47" s="19"/>
      <c r="K47" s="38">
        <v>0.08</v>
      </c>
      <c r="L47" s="19"/>
      <c r="M47" s="38">
        <v>8.5000000000000006E-2</v>
      </c>
      <c r="N47" s="13" t="s">
        <v>78</v>
      </c>
      <c r="O47" s="7"/>
      <c r="P47" s="7"/>
      <c r="Q47" s="7"/>
      <c r="R47" s="7"/>
      <c r="S47" s="7"/>
      <c r="T47" s="7"/>
      <c r="U47" s="7"/>
    </row>
    <row r="48" spans="1:21" ht="27" customHeight="1" x14ac:dyDescent="0.35">
      <c r="A48" s="5"/>
      <c r="B48" s="5"/>
      <c r="C48" s="5"/>
      <c r="D48" s="20" t="s">
        <v>79</v>
      </c>
      <c r="E48" s="20"/>
      <c r="F48" s="20"/>
      <c r="G48" s="20" t="s">
        <v>66</v>
      </c>
      <c r="H48" s="20"/>
      <c r="I48" s="38">
        <v>0.122</v>
      </c>
      <c r="J48" s="28"/>
      <c r="K48" s="38">
        <v>0.115</v>
      </c>
      <c r="L48" s="28"/>
      <c r="M48" s="38">
        <v>0.105</v>
      </c>
      <c r="N48" s="20" t="s">
        <v>80</v>
      </c>
      <c r="O48" s="7"/>
      <c r="P48" s="7"/>
      <c r="Q48" s="7"/>
      <c r="R48" s="7"/>
      <c r="S48" s="7"/>
      <c r="T48" s="7"/>
      <c r="U48" s="7"/>
    </row>
    <row r="49" spans="1:21" ht="27" customHeight="1" x14ac:dyDescent="0.35">
      <c r="A49" s="5"/>
      <c r="B49" s="5"/>
      <c r="C49" s="5"/>
      <c r="D49" s="13" t="s">
        <v>81</v>
      </c>
      <c r="E49" s="13"/>
      <c r="F49" s="13"/>
      <c r="G49" s="13" t="s">
        <v>66</v>
      </c>
      <c r="H49" s="13"/>
      <c r="I49" s="38">
        <v>3.5000000000000003E-2</v>
      </c>
      <c r="J49" s="19"/>
      <c r="K49" s="38">
        <v>0.03</v>
      </c>
      <c r="L49" s="19"/>
      <c r="M49" s="38">
        <v>2.7E-2</v>
      </c>
      <c r="N49" s="13" t="s">
        <v>82</v>
      </c>
      <c r="O49" s="7"/>
      <c r="P49" s="7"/>
      <c r="Q49" s="7"/>
      <c r="R49" s="7"/>
      <c r="S49" s="7"/>
      <c r="T49" s="7"/>
      <c r="U49" s="7"/>
    </row>
    <row r="50" spans="1:21" ht="27" customHeight="1" x14ac:dyDescent="0.35">
      <c r="A50" s="5"/>
      <c r="B50" s="5"/>
      <c r="C50" s="5"/>
      <c r="D50" s="20" t="s">
        <v>83</v>
      </c>
      <c r="E50" s="20"/>
      <c r="F50" s="20"/>
      <c r="G50" s="20" t="s">
        <v>66</v>
      </c>
      <c r="H50" s="20"/>
      <c r="I50" s="38">
        <v>2.9810344353494823E-2</v>
      </c>
      <c r="J50" s="28"/>
      <c r="K50" s="38">
        <v>2.512145461901439E-2</v>
      </c>
      <c r="L50" s="28"/>
      <c r="M50" s="38">
        <v>2.1348398370086782E-2</v>
      </c>
      <c r="N50" s="20" t="s">
        <v>84</v>
      </c>
      <c r="O50" s="7"/>
      <c r="P50" s="7"/>
      <c r="Q50" s="7"/>
      <c r="R50" s="7"/>
      <c r="S50" s="7"/>
      <c r="T50" s="7"/>
      <c r="U50" s="7"/>
    </row>
    <row r="51" spans="1:21" ht="27" customHeight="1" x14ac:dyDescent="0.35">
      <c r="A51" s="5"/>
      <c r="B51" s="5"/>
      <c r="C51" s="5"/>
      <c r="D51" s="13" t="s">
        <v>85</v>
      </c>
      <c r="E51" s="13"/>
      <c r="F51" s="13"/>
      <c r="G51" s="13" t="s">
        <v>66</v>
      </c>
      <c r="H51" s="13"/>
      <c r="I51" s="38">
        <f>'Model Detail'!C33</f>
        <v>5.3547828711609763E-2</v>
      </c>
      <c r="J51" s="19"/>
      <c r="K51" s="38">
        <f>'Model Detail'!D33</f>
        <v>4.3344397452910015E-2</v>
      </c>
      <c r="L51" s="19"/>
      <c r="M51" s="38">
        <f>'Model Detail'!E33</f>
        <v>3.5288245201836696E-2</v>
      </c>
      <c r="N51" s="13" t="s">
        <v>86</v>
      </c>
      <c r="O51" s="7"/>
      <c r="P51" s="7"/>
      <c r="Q51" s="7"/>
      <c r="R51" s="7"/>
      <c r="S51" s="7"/>
      <c r="T51" s="7"/>
      <c r="U51" s="7"/>
    </row>
    <row r="52" spans="1:21" ht="27" customHeight="1" x14ac:dyDescent="0.35">
      <c r="A52" s="5"/>
      <c r="B52" s="5"/>
      <c r="C52" s="5"/>
      <c r="D52" s="20" t="s">
        <v>87</v>
      </c>
      <c r="E52" s="20"/>
      <c r="F52" s="20"/>
      <c r="G52" s="20" t="s">
        <v>66</v>
      </c>
      <c r="H52" s="20"/>
      <c r="I52" s="38">
        <f>'Model Detail'!C36</f>
        <v>3.1825100318251004E-2</v>
      </c>
      <c r="J52" s="28"/>
      <c r="K52" s="38">
        <f>'Model Detail'!D36</f>
        <v>3.1825100318251004E-2</v>
      </c>
      <c r="L52" s="28"/>
      <c r="M52" s="38">
        <f>'Model Detail'!E36</f>
        <v>3.0441400304414001E-2</v>
      </c>
      <c r="N52" s="20" t="s">
        <v>88</v>
      </c>
      <c r="O52" s="7"/>
      <c r="P52" s="7"/>
      <c r="Q52" s="7"/>
      <c r="R52" s="7"/>
      <c r="S52" s="7"/>
      <c r="T52" s="7"/>
      <c r="U52" s="7"/>
    </row>
    <row r="53" spans="1:21" ht="27" customHeight="1" x14ac:dyDescent="0.35">
      <c r="A53" s="5"/>
      <c r="B53" s="5"/>
      <c r="C53" s="5"/>
      <c r="D53" s="13" t="s">
        <v>89</v>
      </c>
      <c r="E53" s="13"/>
      <c r="F53" s="13"/>
      <c r="G53" s="13" t="s">
        <v>66</v>
      </c>
      <c r="H53" s="13"/>
      <c r="I53" s="38">
        <v>9.8832401116467197E-2</v>
      </c>
      <c r="J53" s="19"/>
      <c r="K53" s="38">
        <v>9.8832401116467197E-2</v>
      </c>
      <c r="L53" s="19"/>
      <c r="M53" s="38">
        <v>9.4764007934360142E-2</v>
      </c>
      <c r="N53" s="13" t="s">
        <v>90</v>
      </c>
      <c r="O53" s="7"/>
      <c r="P53" s="7"/>
      <c r="Q53" s="7"/>
      <c r="R53" s="7"/>
      <c r="S53" s="7"/>
      <c r="T53" s="7"/>
      <c r="U53" s="7"/>
    </row>
    <row r="54" spans="1:21" ht="27" customHeight="1" x14ac:dyDescent="0.35">
      <c r="A54" s="5"/>
      <c r="B54" s="5"/>
      <c r="C54" s="5"/>
      <c r="D54" s="20" t="s">
        <v>91</v>
      </c>
      <c r="E54" s="20"/>
      <c r="F54" s="20"/>
      <c r="G54" s="20" t="s">
        <v>66</v>
      </c>
      <c r="H54" s="20"/>
      <c r="I54" s="38">
        <f>'Model Detail'!C21</f>
        <v>4.2951312106313554E-2</v>
      </c>
      <c r="J54" s="28"/>
      <c r="K54" s="38">
        <f>'Model Detail'!D21</f>
        <v>2.6646774561426556E-2</v>
      </c>
      <c r="L54" s="28"/>
      <c r="M54" s="38">
        <f>'Model Detail'!E21</f>
        <v>2.0273477958436047E-2</v>
      </c>
      <c r="N54" s="20" t="s">
        <v>92</v>
      </c>
      <c r="O54" s="7"/>
      <c r="P54" s="7"/>
      <c r="Q54" s="7"/>
      <c r="R54" s="7"/>
      <c r="S54" s="7"/>
      <c r="T54" s="7"/>
      <c r="U54" s="7"/>
    </row>
    <row r="55" spans="1:21" ht="27" customHeight="1" x14ac:dyDescent="0.35">
      <c r="A55" s="5"/>
      <c r="B55" s="5"/>
      <c r="C55" s="5"/>
      <c r="D55" s="13" t="s">
        <v>93</v>
      </c>
      <c r="E55" s="13"/>
      <c r="F55" s="13"/>
      <c r="G55" s="13" t="s">
        <v>66</v>
      </c>
      <c r="H55" s="13"/>
      <c r="I55" s="38">
        <f>'Model Detail'!C29</f>
        <v>9.3923250267415298E-2</v>
      </c>
      <c r="J55" s="19"/>
      <c r="K55" s="38">
        <f>'Model Detail'!D29</f>
        <v>6.6339927436820226E-2</v>
      </c>
      <c r="L55" s="19"/>
      <c r="M55" s="38">
        <f>'Model Detail'!E29</f>
        <v>5.0943172900950524E-2</v>
      </c>
      <c r="N55" s="13" t="s">
        <v>94</v>
      </c>
      <c r="O55" s="7"/>
      <c r="P55" s="7"/>
      <c r="Q55" s="7"/>
      <c r="R55" s="7"/>
      <c r="S55" s="7"/>
      <c r="T55" s="7"/>
      <c r="U55" s="7"/>
    </row>
    <row r="56" spans="1:21" ht="27" customHeight="1" x14ac:dyDescent="0.35">
      <c r="A56" s="5"/>
      <c r="B56" s="5"/>
      <c r="C56" s="5"/>
      <c r="D56" s="20" t="s">
        <v>95</v>
      </c>
      <c r="E56" s="20"/>
      <c r="F56" s="20"/>
      <c r="G56" s="20" t="s">
        <v>66</v>
      </c>
      <c r="H56" s="20"/>
      <c r="I56" s="38">
        <v>6.9040000000000004E-2</v>
      </c>
      <c r="J56" s="28"/>
      <c r="K56" s="38">
        <v>4.9959999999999997E-2</v>
      </c>
      <c r="L56" s="28"/>
      <c r="M56" s="38">
        <v>4.1259999999999998E-2</v>
      </c>
      <c r="N56" s="20" t="s">
        <v>96</v>
      </c>
      <c r="O56" s="7"/>
      <c r="P56" s="7"/>
      <c r="Q56" s="7"/>
      <c r="R56" s="7"/>
      <c r="S56" s="7"/>
      <c r="T56" s="7"/>
      <c r="U56" s="7"/>
    </row>
    <row r="57" spans="1:21" ht="27" customHeight="1" x14ac:dyDescent="0.35">
      <c r="A57" s="5"/>
      <c r="B57" s="5"/>
      <c r="C57" s="5"/>
      <c r="D57" s="13" t="s">
        <v>97</v>
      </c>
      <c r="E57" s="13"/>
      <c r="F57" s="13"/>
      <c r="G57" s="13" t="s">
        <v>66</v>
      </c>
      <c r="H57" s="13"/>
      <c r="I57" s="38">
        <v>5.5E-2</v>
      </c>
      <c r="J57" s="19"/>
      <c r="K57" s="38">
        <v>3.9E-2</v>
      </c>
      <c r="L57" s="19"/>
      <c r="M57" s="38">
        <v>3.2000000000000001E-2</v>
      </c>
      <c r="N57" s="13" t="s">
        <v>98</v>
      </c>
      <c r="O57" s="7"/>
      <c r="P57" s="7"/>
      <c r="Q57" s="7"/>
      <c r="R57" s="7"/>
      <c r="S57" s="7"/>
      <c r="T57" s="7"/>
      <c r="U57" s="7"/>
    </row>
    <row r="58" spans="1:21" x14ac:dyDescent="0.35">
      <c r="A58" s="5"/>
      <c r="B58" s="5"/>
      <c r="C58" s="5"/>
      <c r="D58" s="20"/>
      <c r="E58" s="20"/>
      <c r="F58" s="20"/>
      <c r="G58" s="20"/>
      <c r="H58" s="20"/>
      <c r="I58" s="32"/>
      <c r="J58" s="20"/>
      <c r="K58" s="32"/>
      <c r="L58" s="20"/>
      <c r="M58" s="32"/>
      <c r="N58" s="20"/>
      <c r="O58" s="7"/>
      <c r="P58" s="7"/>
      <c r="Q58" s="7"/>
      <c r="R58" s="7"/>
      <c r="S58" s="7"/>
      <c r="T58" s="7"/>
      <c r="U58" s="7"/>
    </row>
    <row r="59" spans="1:21" x14ac:dyDescent="0.35">
      <c r="A59" s="5"/>
      <c r="B59" s="5"/>
      <c r="C59" s="5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spans="1:21" x14ac:dyDescent="0.35">
      <c r="A60" s="5"/>
      <c r="B60" s="5"/>
      <c r="C60" s="5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spans="1:21" x14ac:dyDescent="0.35">
      <c r="A61" s="5"/>
      <c r="B61" s="5"/>
      <c r="C61" s="5"/>
      <c r="D61" s="12" t="s">
        <v>99</v>
      </c>
      <c r="E61" s="12"/>
      <c r="F61" s="12"/>
      <c r="G61" s="12" t="s">
        <v>2</v>
      </c>
      <c r="H61" s="12"/>
      <c r="I61" s="12" t="s">
        <v>3</v>
      </c>
      <c r="J61" s="12"/>
      <c r="K61" s="12" t="s">
        <v>4</v>
      </c>
      <c r="L61" s="12"/>
      <c r="M61" s="12" t="s">
        <v>5</v>
      </c>
      <c r="N61" s="12" t="s">
        <v>100</v>
      </c>
    </row>
    <row r="62" spans="1:21" x14ac:dyDescent="0.35">
      <c r="A62" s="5"/>
      <c r="B62" s="5"/>
      <c r="C62" s="5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1:21" ht="28.5" customHeight="1" x14ac:dyDescent="0.35">
      <c r="A63" s="5"/>
      <c r="B63" s="5"/>
      <c r="C63" s="5"/>
      <c r="D63" s="39" t="s">
        <v>101</v>
      </c>
      <c r="E63" s="39"/>
      <c r="F63" s="39"/>
      <c r="G63" s="39" t="s">
        <v>66</v>
      </c>
      <c r="H63" s="39"/>
      <c r="I63" s="40">
        <f>'Model Detail'!C50</f>
        <v>2.7167141040087675E-2</v>
      </c>
      <c r="J63" s="40"/>
      <c r="K63" s="40">
        <f>'Model Detail'!D50</f>
        <v>3.0212640733612785E-3</v>
      </c>
      <c r="L63" s="40"/>
      <c r="M63" s="40">
        <f>'Model Detail'!E50</f>
        <v>2.5435692994234373E-3</v>
      </c>
      <c r="N63" s="39" t="s">
        <v>102</v>
      </c>
    </row>
    <row r="64" spans="1:21" ht="28.5" customHeight="1" x14ac:dyDescent="0.35">
      <c r="A64" s="5"/>
      <c r="B64" s="5"/>
      <c r="C64" s="5"/>
      <c r="D64" s="39" t="s">
        <v>103</v>
      </c>
      <c r="E64" s="39"/>
      <c r="F64" s="39"/>
      <c r="G64" s="39" t="s">
        <v>104</v>
      </c>
      <c r="H64" s="39"/>
      <c r="I64" s="41">
        <f>'Model Detail'!C51</f>
        <v>352.56011813029522</v>
      </c>
      <c r="J64" s="41"/>
      <c r="K64" s="41">
        <f>'Model Detail'!D51</f>
        <v>2357.7381703228994</v>
      </c>
      <c r="L64" s="41"/>
      <c r="M64" s="41">
        <f>'Model Detail'!E51</f>
        <v>2262.2442786019415</v>
      </c>
      <c r="N64" s="39" t="s">
        <v>105</v>
      </c>
    </row>
    <row r="65" spans="1:19" ht="28.5" customHeight="1" x14ac:dyDescent="0.35">
      <c r="A65" s="5"/>
      <c r="B65" s="5"/>
      <c r="C65" s="5"/>
      <c r="D65" s="39" t="s">
        <v>106</v>
      </c>
      <c r="E65" s="39"/>
      <c r="F65" s="39"/>
      <c r="G65" s="39" t="s">
        <v>104</v>
      </c>
      <c r="H65" s="39"/>
      <c r="I65" s="41">
        <f>'Model Detail'!C52</f>
        <v>146.99412767443815</v>
      </c>
      <c r="J65" s="41"/>
      <c r="K65" s="41">
        <f>'Model Detail'!D52</f>
        <v>1339.706723233805</v>
      </c>
      <c r="L65" s="41"/>
      <c r="M65" s="41">
        <f>'Model Detail'!E52</f>
        <v>1376.8220576565093</v>
      </c>
      <c r="N65" s="39" t="s">
        <v>107</v>
      </c>
    </row>
    <row r="66" spans="1:19" ht="28.5" customHeight="1" x14ac:dyDescent="0.35">
      <c r="A66" s="5"/>
      <c r="B66" s="5"/>
      <c r="C66" s="5"/>
      <c r="D66" s="39" t="s">
        <v>108</v>
      </c>
      <c r="E66" s="39"/>
      <c r="F66" s="39"/>
      <c r="G66" s="39" t="s">
        <v>104</v>
      </c>
      <c r="H66" s="39"/>
      <c r="I66" s="41">
        <f>'Model Detail'!C53</f>
        <v>139.32475198873388</v>
      </c>
      <c r="J66" s="41"/>
      <c r="K66" s="41">
        <f>'Model Detail'!D53</f>
        <v>1501.4750101444649</v>
      </c>
      <c r="L66" s="41"/>
      <c r="M66" s="41">
        <f>'Model Detail'!E53</f>
        <v>1530.5178183850255</v>
      </c>
      <c r="N66" s="39" t="s">
        <v>109</v>
      </c>
    </row>
    <row r="67" spans="1:19" ht="28.5" customHeight="1" x14ac:dyDescent="0.35">
      <c r="A67" s="5"/>
      <c r="B67" s="5"/>
      <c r="C67" s="5"/>
      <c r="D67" s="39" t="s">
        <v>110</v>
      </c>
      <c r="E67" s="39"/>
      <c r="F67" s="39"/>
      <c r="G67" s="39" t="s">
        <v>111</v>
      </c>
      <c r="H67" s="39"/>
      <c r="I67" s="42" t="str">
        <f>'Model Detail'!C54</f>
        <v>Wind+BESS</v>
      </c>
      <c r="J67" s="42"/>
      <c r="K67" s="42" t="str">
        <f>'Model Detail'!D54</f>
        <v>Wind+BESS</v>
      </c>
      <c r="L67" s="42"/>
      <c r="M67" s="42" t="str">
        <f>'Model Detail'!E54</f>
        <v>Wind+BESS</v>
      </c>
      <c r="N67" s="39" t="s">
        <v>112</v>
      </c>
    </row>
    <row r="68" spans="1:19" ht="28.5" customHeight="1" x14ac:dyDescent="0.35">
      <c r="A68" s="5"/>
      <c r="B68" s="5"/>
      <c r="C68" s="5"/>
      <c r="D68" s="39" t="s">
        <v>113</v>
      </c>
      <c r="E68" s="39"/>
      <c r="F68" s="39"/>
      <c r="G68" s="39" t="s">
        <v>104</v>
      </c>
      <c r="H68" s="39"/>
      <c r="I68" s="41">
        <f>'Model Detail'!C55</f>
        <v>24.600155586705529</v>
      </c>
      <c r="J68" s="41"/>
      <c r="K68" s="41">
        <f>'Model Detail'!D55</f>
        <v>1072.5416576860105</v>
      </c>
      <c r="L68" s="41"/>
      <c r="M68" s="41">
        <f>'Model Detail'!E55</f>
        <v>1303.9716005949372</v>
      </c>
      <c r="N68" s="39" t="s">
        <v>114</v>
      </c>
    </row>
    <row r="69" spans="1:19" ht="28.5" customHeight="1" x14ac:dyDescent="0.35">
      <c r="A69" s="5"/>
      <c r="B69" s="5"/>
      <c r="C69" s="5"/>
      <c r="D69" s="39" t="s">
        <v>115</v>
      </c>
      <c r="E69" s="39"/>
      <c r="F69" s="39"/>
      <c r="G69" s="39" t="s">
        <v>111</v>
      </c>
      <c r="H69" s="39"/>
      <c r="I69" s="42" t="str">
        <f>'Model Detail'!C56</f>
        <v>Hydro</v>
      </c>
      <c r="J69" s="42"/>
      <c r="K69" s="42" t="str">
        <f>'Model Detail'!D56</f>
        <v>Hydro</v>
      </c>
      <c r="L69" s="42"/>
      <c r="M69" s="42" t="str">
        <f>'Model Detail'!E56</f>
        <v>Hydro</v>
      </c>
      <c r="N69" s="39" t="s">
        <v>116</v>
      </c>
    </row>
    <row r="70" spans="1:19" x14ac:dyDescent="0.35">
      <c r="A70" s="5"/>
      <c r="B70" s="5"/>
      <c r="C70" s="5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9" x14ac:dyDescent="0.35">
      <c r="A71" s="5"/>
      <c r="B71" s="5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7"/>
    </row>
    <row r="72" spans="1:19" x14ac:dyDescent="0.35">
      <c r="A72" s="5"/>
      <c r="B72" s="5"/>
      <c r="C72" s="5"/>
      <c r="D72" s="44"/>
      <c r="E72" s="45"/>
      <c r="F72" s="45"/>
      <c r="G72" s="45"/>
      <c r="H72" s="45"/>
      <c r="I72" s="45"/>
      <c r="J72" s="45"/>
      <c r="K72" s="45"/>
      <c r="L72" s="45"/>
      <c r="M72" s="46"/>
      <c r="N72" s="7"/>
      <c r="O72" s="3" t="s">
        <v>117</v>
      </c>
      <c r="P72" s="3" t="s">
        <v>118</v>
      </c>
      <c r="Q72" s="3" t="s">
        <v>119</v>
      </c>
      <c r="R72" s="3" t="s">
        <v>120</v>
      </c>
      <c r="S72" s="3" t="s">
        <v>121</v>
      </c>
    </row>
    <row r="73" spans="1:19" x14ac:dyDescent="0.35">
      <c r="A73" s="5"/>
      <c r="B73" s="5"/>
      <c r="C73" s="5"/>
      <c r="D73" s="47"/>
      <c r="E73" s="43"/>
      <c r="F73" s="43"/>
      <c r="G73" s="43"/>
      <c r="H73" s="43"/>
      <c r="I73" s="43"/>
      <c r="J73" s="43"/>
      <c r="K73" s="43"/>
      <c r="L73" s="43"/>
      <c r="M73" s="48"/>
      <c r="N73" s="7"/>
      <c r="O73" s="3">
        <v>2026</v>
      </c>
      <c r="P73" s="3">
        <f>I63*1000</f>
        <v>27.167141040087674</v>
      </c>
      <c r="Q73" s="3">
        <f>I55*1000</f>
        <v>93.923250267415298</v>
      </c>
      <c r="R73" s="3">
        <f>I51*1000</f>
        <v>53.54782871160976</v>
      </c>
      <c r="S73" s="3">
        <f>'Model Detail'!C38*1000</f>
        <v>31.825100318251003</v>
      </c>
    </row>
    <row r="74" spans="1:19" x14ac:dyDescent="0.35">
      <c r="A74" s="5"/>
      <c r="B74" s="5"/>
      <c r="C74" s="5"/>
      <c r="D74" s="47"/>
      <c r="E74" s="43"/>
      <c r="F74" s="43"/>
      <c r="G74" s="43"/>
      <c r="H74" s="43"/>
      <c r="I74" s="43"/>
      <c r="J74" s="43"/>
      <c r="K74" s="43"/>
      <c r="L74" s="43"/>
      <c r="M74" s="48"/>
      <c r="N74" s="7"/>
      <c r="O74" s="3">
        <v>2036</v>
      </c>
      <c r="P74" s="3">
        <f>K63*1000</f>
        <v>3.0212640733612783</v>
      </c>
      <c r="Q74" s="3">
        <f>K55*1000</f>
        <v>66.339927436820233</v>
      </c>
      <c r="R74" s="3">
        <f>K51*1000</f>
        <v>43.344397452910016</v>
      </c>
      <c r="S74" s="3">
        <f>'Model Detail'!D38*1000</f>
        <v>31.825100318251003</v>
      </c>
    </row>
    <row r="75" spans="1:19" x14ac:dyDescent="0.35">
      <c r="A75" s="5"/>
      <c r="B75" s="5"/>
      <c r="C75" s="5"/>
      <c r="D75" s="47"/>
      <c r="E75" s="43"/>
      <c r="F75" s="43"/>
      <c r="G75" s="43"/>
      <c r="H75" s="43"/>
      <c r="I75" s="43"/>
      <c r="J75" s="43"/>
      <c r="K75" s="43"/>
      <c r="L75" s="43"/>
      <c r="M75" s="48"/>
      <c r="N75" s="7"/>
      <c r="O75" s="3">
        <v>2051</v>
      </c>
      <c r="P75" s="3">
        <f>M63*1000</f>
        <v>2.5435692994234373</v>
      </c>
      <c r="Q75" s="3">
        <f>M55*1000</f>
        <v>50.943172900950522</v>
      </c>
      <c r="R75" s="3">
        <f>M51*1000</f>
        <v>35.288245201836695</v>
      </c>
      <c r="S75" s="3">
        <f>'Model Detail'!E38*1000</f>
        <v>30.441400304414003</v>
      </c>
    </row>
    <row r="76" spans="1:19" x14ac:dyDescent="0.35">
      <c r="A76" s="5"/>
      <c r="B76" s="5"/>
      <c r="C76" s="5"/>
      <c r="D76" s="47"/>
      <c r="E76" s="43"/>
      <c r="F76" s="43"/>
      <c r="G76" s="43"/>
      <c r="H76" s="43"/>
      <c r="I76" s="43"/>
      <c r="J76" s="43"/>
      <c r="K76" s="43"/>
      <c r="L76" s="43"/>
      <c r="M76" s="48"/>
      <c r="N76" s="7"/>
    </row>
    <row r="77" spans="1:19" x14ac:dyDescent="0.35">
      <c r="A77" s="5"/>
      <c r="B77" s="5"/>
      <c r="C77" s="5"/>
      <c r="D77" s="47"/>
      <c r="E77" s="43"/>
      <c r="F77" s="43"/>
      <c r="G77" s="43"/>
      <c r="H77" s="43"/>
      <c r="I77" s="43"/>
      <c r="J77" s="43"/>
      <c r="K77" s="43"/>
      <c r="L77" s="43"/>
      <c r="M77" s="48"/>
      <c r="N77" s="7"/>
    </row>
    <row r="78" spans="1:19" x14ac:dyDescent="0.35">
      <c r="A78" s="5"/>
      <c r="B78" s="5"/>
      <c r="C78" s="5"/>
      <c r="D78" s="47"/>
      <c r="E78" s="43"/>
      <c r="F78" s="43"/>
      <c r="G78" s="43"/>
      <c r="H78" s="43"/>
      <c r="I78" s="43"/>
      <c r="J78" s="43"/>
      <c r="K78" s="43"/>
      <c r="L78" s="43"/>
      <c r="M78" s="48"/>
      <c r="N78" s="7"/>
    </row>
    <row r="79" spans="1:19" x14ac:dyDescent="0.35">
      <c r="A79" s="5"/>
      <c r="B79" s="5"/>
      <c r="C79" s="5"/>
      <c r="D79" s="47"/>
      <c r="E79" s="43"/>
      <c r="F79" s="43"/>
      <c r="G79" s="43"/>
      <c r="H79" s="43"/>
      <c r="I79" s="43"/>
      <c r="J79" s="43"/>
      <c r="K79" s="43"/>
      <c r="L79" s="43"/>
      <c r="M79" s="48"/>
      <c r="N79" s="7"/>
    </row>
    <row r="80" spans="1:19" x14ac:dyDescent="0.35">
      <c r="A80" s="5"/>
      <c r="B80" s="5"/>
      <c r="C80" s="5"/>
      <c r="D80" s="47"/>
      <c r="E80" s="43"/>
      <c r="F80" s="43"/>
      <c r="G80" s="43"/>
      <c r="H80" s="43"/>
      <c r="I80" s="43"/>
      <c r="J80" s="43"/>
      <c r="K80" s="43"/>
      <c r="L80" s="43"/>
      <c r="M80" s="48"/>
      <c r="N80" s="7"/>
    </row>
    <row r="81" spans="1:14" x14ac:dyDescent="0.35">
      <c r="A81" s="5"/>
      <c r="B81" s="5"/>
      <c r="C81" s="5"/>
      <c r="D81" s="47"/>
      <c r="E81" s="43"/>
      <c r="F81" s="43"/>
      <c r="G81" s="43"/>
      <c r="H81" s="43"/>
      <c r="I81" s="43"/>
      <c r="J81" s="43"/>
      <c r="K81" s="43"/>
      <c r="L81" s="43"/>
      <c r="M81" s="48"/>
      <c r="N81" s="7"/>
    </row>
    <row r="82" spans="1:14" x14ac:dyDescent="0.35">
      <c r="A82" s="5"/>
      <c r="B82" s="5"/>
      <c r="C82" s="5"/>
      <c r="D82" s="47"/>
      <c r="E82" s="43"/>
      <c r="F82" s="43"/>
      <c r="G82" s="43"/>
      <c r="H82" s="43"/>
      <c r="I82" s="43"/>
      <c r="J82" s="43"/>
      <c r="K82" s="43"/>
      <c r="L82" s="43"/>
      <c r="M82" s="48"/>
      <c r="N82" s="7"/>
    </row>
    <row r="83" spans="1:14" x14ac:dyDescent="0.35">
      <c r="A83" s="5"/>
      <c r="B83" s="5"/>
      <c r="C83" s="5"/>
      <c r="D83" s="47"/>
      <c r="E83" s="43"/>
      <c r="F83" s="43"/>
      <c r="G83" s="43"/>
      <c r="H83" s="43"/>
      <c r="I83" s="43"/>
      <c r="J83" s="43"/>
      <c r="K83" s="43"/>
      <c r="L83" s="43"/>
      <c r="M83" s="48"/>
      <c r="N83" s="7"/>
    </row>
    <row r="84" spans="1:14" x14ac:dyDescent="0.35">
      <c r="A84" s="5"/>
      <c r="B84" s="5"/>
      <c r="C84" s="5"/>
      <c r="D84" s="47"/>
      <c r="E84" s="43"/>
      <c r="F84" s="43"/>
      <c r="G84" s="43"/>
      <c r="H84" s="43"/>
      <c r="I84" s="43"/>
      <c r="J84" s="43"/>
      <c r="K84" s="43"/>
      <c r="L84" s="43"/>
      <c r="M84" s="48"/>
      <c r="N84" s="7"/>
    </row>
    <row r="85" spans="1:14" x14ac:dyDescent="0.35">
      <c r="A85" s="5"/>
      <c r="B85" s="5"/>
      <c r="C85" s="5"/>
      <c r="D85" s="47"/>
      <c r="E85" s="43"/>
      <c r="F85" s="43"/>
      <c r="G85" s="43"/>
      <c r="H85" s="43"/>
      <c r="I85" s="43"/>
      <c r="J85" s="43"/>
      <c r="K85" s="43"/>
      <c r="L85" s="43"/>
      <c r="M85" s="48"/>
      <c r="N85" s="7"/>
    </row>
    <row r="86" spans="1:14" x14ac:dyDescent="0.35">
      <c r="A86" s="5"/>
      <c r="B86" s="5"/>
      <c r="C86" s="5"/>
      <c r="D86" s="47"/>
      <c r="E86" s="43"/>
      <c r="F86" s="43"/>
      <c r="G86" s="43"/>
      <c r="H86" s="43"/>
      <c r="I86" s="43"/>
      <c r="J86" s="43"/>
      <c r="K86" s="43"/>
      <c r="L86" s="43"/>
      <c r="M86" s="48"/>
      <c r="N86" s="7"/>
    </row>
    <row r="87" spans="1:14" x14ac:dyDescent="0.35">
      <c r="A87" s="5"/>
      <c r="B87" s="5"/>
      <c r="C87" s="5"/>
      <c r="D87" s="47"/>
      <c r="E87" s="43"/>
      <c r="F87" s="43"/>
      <c r="G87" s="43"/>
      <c r="H87" s="43"/>
      <c r="I87" s="43"/>
      <c r="J87" s="43"/>
      <c r="K87" s="43"/>
      <c r="L87" s="43"/>
      <c r="M87" s="48"/>
      <c r="N87" s="7"/>
    </row>
    <row r="88" spans="1:14" x14ac:dyDescent="0.35">
      <c r="A88" s="5"/>
      <c r="B88" s="5"/>
      <c r="C88" s="5"/>
      <c r="D88" s="47"/>
      <c r="E88" s="43"/>
      <c r="F88" s="43"/>
      <c r="G88" s="43"/>
      <c r="H88" s="43"/>
      <c r="I88" s="43"/>
      <c r="J88" s="43"/>
      <c r="K88" s="43"/>
      <c r="L88" s="43"/>
      <c r="M88" s="48"/>
      <c r="N88" s="7"/>
    </row>
    <row r="89" spans="1:14" x14ac:dyDescent="0.35">
      <c r="A89" s="5"/>
      <c r="B89" s="5"/>
      <c r="C89" s="5"/>
      <c r="D89" s="47"/>
      <c r="E89" s="43"/>
      <c r="F89" s="43"/>
      <c r="G89" s="43"/>
      <c r="H89" s="43"/>
      <c r="I89" s="43"/>
      <c r="J89" s="43"/>
      <c r="K89" s="43"/>
      <c r="L89" s="43"/>
      <c r="M89" s="48"/>
      <c r="N89" s="7"/>
    </row>
    <row r="90" spans="1:14" x14ac:dyDescent="0.35">
      <c r="A90" s="5"/>
      <c r="B90" s="5"/>
      <c r="C90" s="5"/>
      <c r="D90" s="47"/>
      <c r="E90" s="43"/>
      <c r="F90" s="43"/>
      <c r="G90" s="43"/>
      <c r="H90" s="43"/>
      <c r="I90" s="43"/>
      <c r="J90" s="43"/>
      <c r="K90" s="43"/>
      <c r="L90" s="43"/>
      <c r="M90" s="48"/>
      <c r="N90" s="7"/>
    </row>
    <row r="91" spans="1:14" x14ac:dyDescent="0.35">
      <c r="A91" s="5"/>
      <c r="B91" s="5"/>
      <c r="C91" s="5"/>
      <c r="D91" s="47"/>
      <c r="E91" s="43"/>
      <c r="F91" s="43"/>
      <c r="G91" s="43"/>
      <c r="H91" s="43"/>
      <c r="I91" s="43"/>
      <c r="J91" s="43"/>
      <c r="K91" s="43"/>
      <c r="L91" s="43"/>
      <c r="M91" s="48"/>
      <c r="N91" s="7"/>
    </row>
    <row r="92" spans="1:14" x14ac:dyDescent="0.35">
      <c r="A92" s="5"/>
      <c r="B92" s="5"/>
      <c r="C92" s="5"/>
      <c r="D92" s="47"/>
      <c r="E92" s="43"/>
      <c r="F92" s="43"/>
      <c r="G92" s="43"/>
      <c r="H92" s="43"/>
      <c r="I92" s="43"/>
      <c r="J92" s="43"/>
      <c r="K92" s="43"/>
      <c r="L92" s="43"/>
      <c r="M92" s="48"/>
      <c r="N92" s="7"/>
    </row>
    <row r="93" spans="1:14" x14ac:dyDescent="0.35">
      <c r="A93" s="5"/>
      <c r="B93" s="5"/>
      <c r="C93" s="5"/>
      <c r="D93" s="47"/>
      <c r="E93" s="43"/>
      <c r="F93" s="43"/>
      <c r="G93" s="43"/>
      <c r="H93" s="43"/>
      <c r="I93" s="43"/>
      <c r="J93" s="43"/>
      <c r="K93" s="43"/>
      <c r="L93" s="43"/>
      <c r="M93" s="48"/>
      <c r="N93" s="7"/>
    </row>
    <row r="94" spans="1:14" x14ac:dyDescent="0.35">
      <c r="A94" s="5"/>
      <c r="B94" s="5"/>
      <c r="C94" s="5"/>
      <c r="D94" s="47"/>
      <c r="E94" s="43"/>
      <c r="F94" s="43"/>
      <c r="G94" s="43"/>
      <c r="H94" s="43"/>
      <c r="I94" s="43"/>
      <c r="J94" s="43"/>
      <c r="K94" s="43"/>
      <c r="L94" s="43"/>
      <c r="M94" s="48"/>
      <c r="N94" s="7"/>
    </row>
    <row r="95" spans="1:14" x14ac:dyDescent="0.35">
      <c r="A95" s="5"/>
      <c r="B95" s="5"/>
      <c r="C95" s="5"/>
      <c r="D95" s="47"/>
      <c r="E95" s="43"/>
      <c r="F95" s="43"/>
      <c r="G95" s="43"/>
      <c r="H95" s="43"/>
      <c r="I95" s="43"/>
      <c r="J95" s="43"/>
      <c r="K95" s="43"/>
      <c r="L95" s="43"/>
      <c r="M95" s="48"/>
      <c r="N95" s="7"/>
    </row>
    <row r="96" spans="1:14" x14ac:dyDescent="0.35">
      <c r="A96" s="5"/>
      <c r="B96" s="5"/>
      <c r="C96" s="5"/>
      <c r="D96" s="47"/>
      <c r="E96" s="43"/>
      <c r="F96" s="43"/>
      <c r="G96" s="43"/>
      <c r="H96" s="43"/>
      <c r="I96" s="43"/>
      <c r="J96" s="43"/>
      <c r="K96" s="43"/>
      <c r="L96" s="43"/>
      <c r="M96" s="48"/>
      <c r="N96" s="7"/>
    </row>
    <row r="97" spans="1:14" x14ac:dyDescent="0.35">
      <c r="A97" s="5"/>
      <c r="B97" s="5"/>
      <c r="C97" s="5"/>
      <c r="D97" s="47"/>
      <c r="E97" s="43"/>
      <c r="F97" s="43"/>
      <c r="G97" s="43"/>
      <c r="H97" s="43"/>
      <c r="I97" s="43"/>
      <c r="J97" s="43"/>
      <c r="K97" s="43"/>
      <c r="L97" s="43"/>
      <c r="M97" s="48"/>
      <c r="N97" s="7"/>
    </row>
    <row r="98" spans="1:14" x14ac:dyDescent="0.35">
      <c r="A98" s="5"/>
      <c r="B98" s="5"/>
      <c r="C98" s="5"/>
      <c r="D98" s="47"/>
      <c r="E98" s="43"/>
      <c r="F98" s="43"/>
      <c r="G98" s="43"/>
      <c r="H98" s="43"/>
      <c r="I98" s="43"/>
      <c r="J98" s="43"/>
      <c r="K98" s="43"/>
      <c r="L98" s="43"/>
      <c r="M98" s="48"/>
      <c r="N98" s="7"/>
    </row>
    <row r="99" spans="1:14" x14ac:dyDescent="0.35">
      <c r="A99" s="5"/>
      <c r="B99" s="5"/>
      <c r="C99" s="5"/>
      <c r="D99" s="47"/>
      <c r="E99" s="43"/>
      <c r="F99" s="43"/>
      <c r="G99" s="43"/>
      <c r="H99" s="43"/>
      <c r="I99" s="43"/>
      <c r="J99" s="43"/>
      <c r="K99" s="43"/>
      <c r="L99" s="43"/>
      <c r="M99" s="48"/>
      <c r="N99" s="7"/>
    </row>
    <row r="100" spans="1:14" x14ac:dyDescent="0.35">
      <c r="A100" s="5"/>
      <c r="B100" s="5"/>
      <c r="C100" s="5"/>
      <c r="D100" s="49"/>
      <c r="E100" s="50"/>
      <c r="F100" s="50"/>
      <c r="G100" s="50"/>
      <c r="H100" s="50"/>
      <c r="I100" s="50"/>
      <c r="J100" s="50"/>
      <c r="K100" s="50"/>
      <c r="L100" s="50"/>
      <c r="M100" s="51"/>
      <c r="N100" s="7"/>
    </row>
    <row r="101" spans="1:14" x14ac:dyDescent="0.35">
      <c r="A101" s="5"/>
      <c r="B101" s="5"/>
      <c r="C101" s="5"/>
      <c r="D101" s="100"/>
      <c r="E101" s="100"/>
      <c r="F101" s="100"/>
      <c r="G101" s="100"/>
      <c r="H101" s="100"/>
      <c r="I101" s="100"/>
      <c r="J101" s="6"/>
      <c r="K101" s="6"/>
      <c r="L101" s="6"/>
      <c r="M101" s="6"/>
      <c r="N101" s="7"/>
    </row>
    <row r="102" spans="1:14" x14ac:dyDescent="0.35">
      <c r="A102" s="5"/>
      <c r="B102" s="5"/>
      <c r="C102" s="5"/>
      <c r="D102" s="100"/>
      <c r="E102" s="100"/>
      <c r="F102" s="100"/>
      <c r="G102" s="100"/>
      <c r="H102" s="100"/>
      <c r="I102" s="100"/>
      <c r="J102" s="6"/>
      <c r="K102" s="6"/>
      <c r="L102" s="6"/>
      <c r="M102" s="6"/>
      <c r="N102" s="7"/>
    </row>
    <row r="103" spans="1:14" x14ac:dyDescent="0.35">
      <c r="A103" s="5"/>
      <c r="B103" s="5"/>
      <c r="C103" s="5"/>
      <c r="D103" s="100"/>
      <c r="E103" s="100"/>
      <c r="F103" s="100"/>
      <c r="G103" s="100"/>
      <c r="H103" s="100"/>
      <c r="I103" s="100"/>
      <c r="J103" s="6"/>
      <c r="K103" s="6"/>
      <c r="L103" s="6"/>
      <c r="M103" s="6"/>
      <c r="N103" s="7"/>
    </row>
    <row r="104" spans="1:14" x14ac:dyDescent="0.35">
      <c r="A104" s="5"/>
      <c r="B104" s="5"/>
      <c r="C104" s="5"/>
      <c r="D104" s="100"/>
      <c r="E104" s="100"/>
      <c r="F104" s="100"/>
      <c r="G104" s="100"/>
      <c r="H104" s="100"/>
      <c r="I104" s="100"/>
      <c r="J104" s="6"/>
      <c r="K104" s="6"/>
      <c r="L104" s="6"/>
      <c r="M104" s="6"/>
      <c r="N104" s="7"/>
    </row>
    <row r="105" spans="1:14" x14ac:dyDescent="0.35">
      <c r="A105" s="5"/>
      <c r="B105" s="5"/>
      <c r="C105" s="5"/>
      <c r="D105" s="100"/>
      <c r="E105" s="100"/>
      <c r="F105" s="100"/>
      <c r="G105" s="100"/>
      <c r="H105" s="100"/>
      <c r="I105" s="100"/>
      <c r="J105" s="6"/>
      <c r="K105" s="6"/>
      <c r="L105" s="6"/>
      <c r="M105" s="6"/>
      <c r="N105" s="7"/>
    </row>
    <row r="106" spans="1:14" x14ac:dyDescent="0.35">
      <c r="A106" s="5"/>
      <c r="B106" s="5"/>
      <c r="C106" s="5"/>
      <c r="D106" s="100"/>
      <c r="E106" s="100"/>
      <c r="F106" s="100"/>
      <c r="G106" s="100"/>
      <c r="H106" s="100"/>
      <c r="I106" s="100"/>
      <c r="J106" s="6"/>
      <c r="K106" s="6"/>
      <c r="L106" s="6"/>
      <c r="M106" s="6"/>
      <c r="N106" s="7"/>
    </row>
    <row r="107" spans="1:14" x14ac:dyDescent="0.35">
      <c r="A107" s="5"/>
      <c r="B107" s="5"/>
      <c r="C107" s="5"/>
      <c r="D107" s="100"/>
      <c r="E107" s="100"/>
      <c r="F107" s="100"/>
      <c r="G107" s="100"/>
      <c r="H107" s="100"/>
      <c r="I107" s="100"/>
      <c r="J107" s="6"/>
      <c r="K107" s="6"/>
      <c r="L107" s="6"/>
      <c r="M107" s="6"/>
      <c r="N107" s="7"/>
    </row>
    <row r="108" spans="1:14" x14ac:dyDescent="0.35">
      <c r="A108" s="5"/>
      <c r="B108" s="5"/>
      <c r="C108" s="5"/>
      <c r="D108" s="100"/>
      <c r="E108" s="100"/>
      <c r="F108" s="100"/>
      <c r="G108" s="100"/>
      <c r="H108" s="100"/>
      <c r="I108" s="100"/>
      <c r="J108" s="6"/>
      <c r="K108" s="6"/>
      <c r="L108" s="6"/>
      <c r="M108" s="6"/>
      <c r="N108" s="7"/>
    </row>
    <row r="109" spans="1:14" x14ac:dyDescent="0.35">
      <c r="A109" s="5"/>
      <c r="B109" s="5"/>
      <c r="C109" s="5"/>
      <c r="D109" s="100"/>
      <c r="E109" s="100"/>
      <c r="F109" s="100"/>
      <c r="G109" s="100"/>
      <c r="H109" s="100"/>
      <c r="I109" s="100"/>
      <c r="J109" s="6"/>
      <c r="K109" s="6"/>
      <c r="L109" s="6"/>
      <c r="M109" s="6"/>
      <c r="N109" s="7"/>
    </row>
    <row r="110" spans="1:14" ht="300.5" x14ac:dyDescent="0.35">
      <c r="A110" s="5"/>
      <c r="B110" s="5"/>
      <c r="C110" s="5"/>
      <c r="D110" s="102" t="s">
        <v>117</v>
      </c>
      <c r="E110" s="102" t="s">
        <v>118</v>
      </c>
      <c r="F110" s="102" t="s">
        <v>119</v>
      </c>
      <c r="G110" s="102" t="s">
        <v>120</v>
      </c>
      <c r="H110" s="102" t="s">
        <v>121</v>
      </c>
      <c r="I110" s="102" t="s">
        <v>122</v>
      </c>
      <c r="J110" s="6"/>
      <c r="K110" s="6"/>
      <c r="L110" s="6"/>
      <c r="M110" s="6"/>
      <c r="N110" s="7"/>
    </row>
    <row r="111" spans="1:14" x14ac:dyDescent="0.35">
      <c r="D111" s="101">
        <v>2026</v>
      </c>
      <c r="E111" s="103">
        <f>I63*1000</f>
        <v>27.167141040087674</v>
      </c>
      <c r="F111" s="103">
        <f>I55*1000</f>
        <v>93.923250267415298</v>
      </c>
      <c r="G111" s="103">
        <f>I51*1000</f>
        <v>53.54782871160976</v>
      </c>
      <c r="H111" s="103">
        <f>MIN(I43,I45,I47,I52)*1000</f>
        <v>31.825100318251003</v>
      </c>
      <c r="I111" s="103">
        <f>I46*1000</f>
        <v>77</v>
      </c>
      <c r="J111" s="1"/>
      <c r="K111" s="1"/>
      <c r="L111" s="1"/>
      <c r="M111" s="1"/>
      <c r="N111" s="2"/>
    </row>
    <row r="112" spans="1:14" x14ac:dyDescent="0.35">
      <c r="D112" s="101">
        <v>2036</v>
      </c>
      <c r="E112" s="103">
        <f>K63*1000</f>
        <v>3.0212640733612783</v>
      </c>
      <c r="F112" s="103">
        <f>K55*1000</f>
        <v>66.339927436820233</v>
      </c>
      <c r="G112" s="103">
        <f>K51*1000</f>
        <v>43.344397452910016</v>
      </c>
      <c r="H112" s="103">
        <f>MIN(K43,K45,K47,K52)*1000</f>
        <v>31.825100318251003</v>
      </c>
      <c r="I112" s="103">
        <f>K46*1000</f>
        <v>70</v>
      </c>
      <c r="J112" s="1"/>
      <c r="K112" s="1"/>
      <c r="L112" s="1"/>
      <c r="M112" s="1"/>
      <c r="N112" s="2"/>
    </row>
    <row r="113" spans="4:14" x14ac:dyDescent="0.35">
      <c r="D113" s="101">
        <v>2051</v>
      </c>
      <c r="E113" s="103">
        <f>M63*1000</f>
        <v>2.5435692994234373</v>
      </c>
      <c r="F113" s="103">
        <f>M55*1000</f>
        <v>50.943172900950522</v>
      </c>
      <c r="G113" s="103">
        <f>M51*1000</f>
        <v>35.288245201836695</v>
      </c>
      <c r="H113" s="103">
        <f>MIN(M43,M45,M47,M52)*1000</f>
        <v>30.441400304414003</v>
      </c>
      <c r="I113" s="103">
        <f>M46*1000</f>
        <v>65</v>
      </c>
      <c r="J113" s="1"/>
      <c r="K113" s="1"/>
      <c r="L113" s="1"/>
      <c r="M113" s="1"/>
      <c r="N113" s="2"/>
    </row>
    <row r="114" spans="4:14" x14ac:dyDescent="0.35"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"/>
    </row>
    <row r="115" spans="4:14" x14ac:dyDescent="0.35"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"/>
    </row>
    <row r="116" spans="4:14" x14ac:dyDescent="0.35"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"/>
    </row>
    <row r="117" spans="4:14" x14ac:dyDescent="0.35"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"/>
    </row>
    <row r="118" spans="4:14" x14ac:dyDescent="0.35"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"/>
    </row>
    <row r="119" spans="4:14" x14ac:dyDescent="0.35"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"/>
    </row>
    <row r="120" spans="4:14" x14ac:dyDescent="0.35"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"/>
    </row>
    <row r="121" spans="4:14" x14ac:dyDescent="0.35"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"/>
    </row>
    <row r="122" spans="4:14" x14ac:dyDescent="0.35"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"/>
    </row>
    <row r="123" spans="4:14" x14ac:dyDescent="0.35"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"/>
    </row>
    <row r="124" spans="4:14" x14ac:dyDescent="0.35"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"/>
    </row>
    <row r="125" spans="4:14" x14ac:dyDescent="0.35"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"/>
    </row>
  </sheetData>
  <mergeCells count="19">
    <mergeCell ref="N17:Q19"/>
    <mergeCell ref="N7:Q7"/>
    <mergeCell ref="R17:U19"/>
    <mergeCell ref="R5:U7"/>
    <mergeCell ref="R8:U10"/>
    <mergeCell ref="R11:U13"/>
    <mergeCell ref="R14:U16"/>
    <mergeCell ref="N16:Q16"/>
    <mergeCell ref="N15:Q15"/>
    <mergeCell ref="N14:Q14"/>
    <mergeCell ref="N13:Q13"/>
    <mergeCell ref="N12:Q12"/>
    <mergeCell ref="N11:Q11"/>
    <mergeCell ref="N10:Q10"/>
    <mergeCell ref="N9:Q9"/>
    <mergeCell ref="N8:Q8"/>
    <mergeCell ref="D4:Q4"/>
    <mergeCell ref="N1:U3"/>
    <mergeCell ref="N5:Q6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85"/>
  <sheetViews>
    <sheetView showGridLines="0" topLeftCell="A100" workbookViewId="0"/>
  </sheetViews>
  <sheetFormatPr defaultRowHeight="14.5" x14ac:dyDescent="0.35"/>
  <cols>
    <col min="1" max="3" width="1.54296875" customWidth="1"/>
    <col min="4" max="4" width="46.453125" customWidth="1"/>
    <col min="5" max="6" width="1.54296875" customWidth="1"/>
    <col min="7" max="7" width="17.08984375" customWidth="1"/>
    <col min="8" max="8" width="1.54296875" customWidth="1"/>
    <col min="9" max="9" width="17" customWidth="1"/>
    <col min="10" max="10" width="34.26953125" customWidth="1"/>
    <col min="11" max="13" width="10.7265625" customWidth="1"/>
    <col min="14" max="14" width="66.453125" customWidth="1"/>
    <col min="15" max="19" width="16.453125" customWidth="1"/>
    <col min="21" max="22" width="16.453125" customWidth="1"/>
    <col min="23" max="23" width="1.81640625" customWidth="1"/>
    <col min="24" max="25" width="16.453125" customWidth="1"/>
  </cols>
  <sheetData>
    <row r="1" spans="1:26" x14ac:dyDescent="0.3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73"/>
      <c r="O1" s="68"/>
      <c r="P1" s="68"/>
      <c r="Q1" s="68"/>
      <c r="R1" s="68"/>
      <c r="S1" s="68"/>
      <c r="T1" s="68"/>
      <c r="Z1" s="68"/>
    </row>
    <row r="2" spans="1:26" x14ac:dyDescent="0.3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73"/>
      <c r="O2" s="68"/>
      <c r="P2" s="68"/>
      <c r="Q2" s="68"/>
      <c r="R2" s="68"/>
      <c r="S2" s="68"/>
      <c r="T2" s="68"/>
      <c r="Z2" s="68"/>
    </row>
    <row r="3" spans="1:26" x14ac:dyDescent="0.35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73"/>
      <c r="O3" s="68"/>
      <c r="P3" s="68"/>
      <c r="Q3" s="68"/>
      <c r="R3" s="68"/>
      <c r="S3" s="68"/>
      <c r="T3" s="68"/>
      <c r="Z3" s="68"/>
    </row>
    <row r="4" spans="1:26" ht="19.5" x14ac:dyDescent="0.45">
      <c r="A4" s="68"/>
      <c r="B4" s="68"/>
      <c r="C4" s="68"/>
      <c r="D4" s="148" t="s">
        <v>496</v>
      </c>
      <c r="E4" s="148"/>
      <c r="F4" s="148"/>
      <c r="G4" s="148"/>
      <c r="H4" s="148"/>
      <c r="I4" s="148"/>
      <c r="J4" s="148"/>
      <c r="K4" s="148"/>
      <c r="L4" s="148"/>
      <c r="M4" s="148"/>
      <c r="N4" s="149"/>
      <c r="O4" s="148"/>
      <c r="P4" s="148"/>
      <c r="Q4" s="148"/>
      <c r="R4" s="148"/>
      <c r="S4" s="148"/>
      <c r="T4" s="68"/>
      <c r="Z4" s="68"/>
    </row>
    <row r="5" spans="1:26" ht="33" customHeight="1" x14ac:dyDescent="0.35">
      <c r="A5" s="68"/>
      <c r="B5" s="68"/>
      <c r="C5" s="68"/>
      <c r="D5" s="150" t="s">
        <v>497</v>
      </c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68"/>
      <c r="Z5" s="68"/>
    </row>
    <row r="6" spans="1:26" ht="33" customHeight="1" x14ac:dyDescent="0.35">
      <c r="A6" s="68"/>
      <c r="B6" s="68"/>
      <c r="C6" s="68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68"/>
      <c r="Z6" s="68"/>
    </row>
    <row r="7" spans="1:26" x14ac:dyDescent="0.35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73"/>
      <c r="O7" s="68"/>
      <c r="P7" s="68"/>
      <c r="Q7" s="68"/>
      <c r="R7" s="68"/>
      <c r="S7" s="68"/>
      <c r="T7" s="68"/>
      <c r="Z7" s="68"/>
    </row>
    <row r="8" spans="1:26" ht="26.5" x14ac:dyDescent="0.35">
      <c r="A8" s="68"/>
      <c r="B8" s="68"/>
      <c r="C8" s="68"/>
      <c r="D8" s="69" t="s">
        <v>498</v>
      </c>
      <c r="E8" s="69"/>
      <c r="F8" s="69"/>
      <c r="G8" s="69" t="s">
        <v>2</v>
      </c>
      <c r="H8" s="69"/>
      <c r="I8" s="69" t="s">
        <v>3</v>
      </c>
      <c r="J8" s="69"/>
      <c r="K8" s="69" t="s">
        <v>4</v>
      </c>
      <c r="L8" s="69"/>
      <c r="M8" s="69" t="s">
        <v>5</v>
      </c>
      <c r="N8" s="69" t="s">
        <v>100</v>
      </c>
      <c r="O8" s="68"/>
      <c r="P8" s="68"/>
      <c r="Q8" s="68"/>
      <c r="R8" s="68"/>
      <c r="S8" s="68"/>
      <c r="T8" s="68"/>
      <c r="Z8" s="68"/>
    </row>
    <row r="9" spans="1:26" x14ac:dyDescent="0.35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73"/>
      <c r="O9" s="68"/>
      <c r="P9" s="68"/>
      <c r="Q9" s="68"/>
      <c r="R9" s="68"/>
      <c r="S9" s="68"/>
      <c r="T9" s="68"/>
      <c r="Z9" s="68"/>
    </row>
    <row r="10" spans="1:26" ht="25.5" customHeight="1" x14ac:dyDescent="0.35">
      <c r="A10" s="68"/>
      <c r="B10" s="68"/>
      <c r="C10" s="68"/>
      <c r="D10" s="70" t="s">
        <v>499</v>
      </c>
      <c r="E10" s="70"/>
      <c r="F10" s="70"/>
      <c r="G10" s="70" t="s">
        <v>500</v>
      </c>
      <c r="H10" s="70"/>
      <c r="I10" s="75">
        <v>100</v>
      </c>
      <c r="J10" s="75"/>
      <c r="K10" s="75">
        <v>100</v>
      </c>
      <c r="L10" s="75"/>
      <c r="M10" s="75">
        <v>100</v>
      </c>
      <c r="N10" s="70" t="s">
        <v>501</v>
      </c>
      <c r="O10" s="68"/>
      <c r="P10" s="68"/>
      <c r="Q10" s="68"/>
      <c r="R10" s="68"/>
      <c r="S10" s="68"/>
      <c r="T10" s="68"/>
      <c r="Z10" s="68"/>
    </row>
    <row r="11" spans="1:26" ht="25.5" customHeight="1" x14ac:dyDescent="0.35">
      <c r="A11" s="68"/>
      <c r="B11" s="68"/>
      <c r="C11" s="68"/>
      <c r="D11" s="71" t="s">
        <v>502</v>
      </c>
      <c r="E11" s="71"/>
      <c r="F11" s="71"/>
      <c r="G11" s="71" t="s">
        <v>503</v>
      </c>
      <c r="H11" s="71"/>
      <c r="I11" s="75">
        <v>500</v>
      </c>
      <c r="J11" s="75"/>
      <c r="K11" s="75">
        <v>500</v>
      </c>
      <c r="L11" s="75"/>
      <c r="M11" s="75">
        <v>500</v>
      </c>
      <c r="N11" s="71" t="s">
        <v>504</v>
      </c>
      <c r="O11" s="68"/>
      <c r="P11" s="68"/>
      <c r="Q11" s="68"/>
      <c r="R11" s="68"/>
      <c r="S11" s="68"/>
      <c r="T11" s="68"/>
      <c r="Z11" s="68"/>
    </row>
    <row r="12" spans="1:26" ht="25.5" customHeight="1" x14ac:dyDescent="0.35">
      <c r="A12" s="68"/>
      <c r="B12" s="68"/>
      <c r="C12" s="68"/>
      <c r="D12" s="70" t="s">
        <v>505</v>
      </c>
      <c r="E12" s="70"/>
      <c r="F12" s="70"/>
      <c r="G12" s="70" t="s">
        <v>503</v>
      </c>
      <c r="H12" s="70"/>
      <c r="I12" s="75">
        <v>1000</v>
      </c>
      <c r="J12" s="75"/>
      <c r="K12" s="75">
        <v>800</v>
      </c>
      <c r="L12" s="75"/>
      <c r="M12" s="75">
        <v>600</v>
      </c>
      <c r="N12" s="70" t="s">
        <v>504</v>
      </c>
      <c r="O12" s="68"/>
      <c r="P12" s="68"/>
      <c r="Q12" s="68"/>
      <c r="R12" s="68"/>
      <c r="S12" s="68"/>
      <c r="T12" s="68"/>
      <c r="Z12" s="68"/>
    </row>
    <row r="13" spans="1:26" ht="25.5" customHeight="1" x14ac:dyDescent="0.35">
      <c r="A13" s="68"/>
      <c r="B13" s="68"/>
      <c r="C13" s="68"/>
      <c r="D13" s="71" t="s">
        <v>506</v>
      </c>
      <c r="E13" s="71"/>
      <c r="F13" s="71"/>
      <c r="G13" s="71" t="s">
        <v>503</v>
      </c>
      <c r="H13" s="71"/>
      <c r="I13" s="75">
        <v>50</v>
      </c>
      <c r="J13" s="75"/>
      <c r="K13" s="75">
        <v>50</v>
      </c>
      <c r="L13" s="75"/>
      <c r="M13" s="75">
        <v>50</v>
      </c>
      <c r="N13" s="71" t="s">
        <v>504</v>
      </c>
      <c r="O13" s="68"/>
      <c r="P13" s="68"/>
      <c r="Q13" s="68"/>
      <c r="R13" s="68"/>
      <c r="S13" s="68"/>
      <c r="T13" s="68"/>
      <c r="Z13" s="68"/>
    </row>
    <row r="14" spans="1:26" ht="25.5" customHeight="1" x14ac:dyDescent="0.35">
      <c r="A14" s="68"/>
      <c r="B14" s="68"/>
      <c r="C14" s="68"/>
      <c r="D14" s="70" t="s">
        <v>507</v>
      </c>
      <c r="E14" s="70"/>
      <c r="F14" s="70"/>
      <c r="G14" s="70" t="s">
        <v>22</v>
      </c>
      <c r="H14" s="70"/>
      <c r="I14" s="80">
        <v>5</v>
      </c>
      <c r="J14" s="80"/>
      <c r="K14" s="80">
        <v>5</v>
      </c>
      <c r="L14" s="80"/>
      <c r="M14" s="80">
        <v>5</v>
      </c>
      <c r="N14" s="70" t="s">
        <v>504</v>
      </c>
      <c r="O14" s="68"/>
      <c r="P14" s="68"/>
      <c r="Q14" s="68"/>
      <c r="R14" s="68"/>
      <c r="S14" s="68"/>
      <c r="T14" s="68"/>
      <c r="Z14" s="68"/>
    </row>
    <row r="15" spans="1:26" ht="25.5" customHeight="1" x14ac:dyDescent="0.35">
      <c r="A15" s="68"/>
      <c r="B15" s="68"/>
      <c r="C15" s="68"/>
      <c r="D15" s="71" t="s">
        <v>508</v>
      </c>
      <c r="E15" s="71"/>
      <c r="F15" s="71"/>
      <c r="G15" s="71" t="s">
        <v>22</v>
      </c>
      <c r="H15" s="71"/>
      <c r="I15" s="80">
        <v>5</v>
      </c>
      <c r="J15" s="80"/>
      <c r="K15" s="80">
        <v>5</v>
      </c>
      <c r="L15" s="80"/>
      <c r="M15" s="80">
        <v>5</v>
      </c>
      <c r="N15" s="71" t="s">
        <v>509</v>
      </c>
      <c r="O15" s="68"/>
      <c r="P15" s="68"/>
      <c r="Q15" s="68"/>
      <c r="R15" s="68"/>
      <c r="S15" s="68"/>
      <c r="T15" s="68"/>
      <c r="Z15" s="68"/>
    </row>
    <row r="16" spans="1:26" ht="25.5" customHeight="1" x14ac:dyDescent="0.35">
      <c r="A16" s="68"/>
      <c r="B16" s="68"/>
      <c r="C16" s="68"/>
      <c r="D16" s="70" t="s">
        <v>510</v>
      </c>
      <c r="E16" s="70"/>
      <c r="F16" s="70"/>
      <c r="G16" s="70" t="s">
        <v>511</v>
      </c>
      <c r="H16" s="70"/>
      <c r="I16" s="74">
        <f>1.3*I35*100/132</f>
        <v>3840909.0909090908</v>
      </c>
      <c r="J16" s="74"/>
      <c r="K16" s="74">
        <f>1.3*K35*100/132</f>
        <v>7878787.8787878789</v>
      </c>
      <c r="L16" s="74"/>
      <c r="M16" s="74">
        <f>1.3*M35*100/132</f>
        <v>19696969.696969695</v>
      </c>
      <c r="N16" s="70" t="s">
        <v>504</v>
      </c>
      <c r="O16" s="68"/>
      <c r="P16" s="68"/>
      <c r="Q16" s="68"/>
      <c r="R16" s="68"/>
      <c r="S16" s="68"/>
      <c r="T16" s="68"/>
      <c r="Z16" s="68"/>
    </row>
    <row r="17" spans="1:26" ht="25.5" customHeight="1" x14ac:dyDescent="0.35">
      <c r="A17" s="68"/>
      <c r="B17" s="68"/>
      <c r="C17" s="68"/>
      <c r="D17" s="71" t="s">
        <v>512</v>
      </c>
      <c r="E17" s="71"/>
      <c r="F17" s="71"/>
      <c r="G17" s="71" t="s">
        <v>511</v>
      </c>
      <c r="H17" s="71"/>
      <c r="I17" s="74">
        <v>500000</v>
      </c>
      <c r="J17" s="74"/>
      <c r="K17" s="74">
        <v>300000</v>
      </c>
      <c r="L17" s="74"/>
      <c r="M17" s="74">
        <v>200000</v>
      </c>
      <c r="N17" s="71" t="s">
        <v>504</v>
      </c>
      <c r="O17" s="68"/>
      <c r="P17" s="68"/>
      <c r="Q17" s="68"/>
      <c r="R17" s="68"/>
      <c r="S17" s="68"/>
      <c r="T17" s="68"/>
      <c r="Z17" s="68"/>
    </row>
    <row r="18" spans="1:26" ht="25.5" customHeight="1" x14ac:dyDescent="0.35">
      <c r="A18" s="68"/>
      <c r="B18" s="68"/>
      <c r="C18" s="68"/>
      <c r="D18" s="70" t="s">
        <v>513</v>
      </c>
      <c r="E18" s="70"/>
      <c r="F18" s="70"/>
      <c r="G18" s="70" t="s">
        <v>511</v>
      </c>
      <c r="H18" s="70"/>
      <c r="I18" s="74">
        <v>200000</v>
      </c>
      <c r="J18" s="74"/>
      <c r="K18" s="74">
        <v>175000</v>
      </c>
      <c r="L18" s="74"/>
      <c r="M18" s="74">
        <v>150000</v>
      </c>
      <c r="N18" s="70" t="s">
        <v>504</v>
      </c>
      <c r="O18" s="68"/>
      <c r="P18" s="68"/>
      <c r="Q18" s="68"/>
      <c r="R18" s="68"/>
      <c r="S18" s="68"/>
      <c r="T18" s="68"/>
      <c r="Z18" s="68"/>
    </row>
    <row r="19" spans="1:26" ht="25.5" customHeight="1" x14ac:dyDescent="0.35">
      <c r="A19" s="68"/>
      <c r="B19" s="68"/>
      <c r="C19" s="68"/>
      <c r="D19" s="71" t="s">
        <v>514</v>
      </c>
      <c r="E19" s="71"/>
      <c r="F19" s="71"/>
      <c r="G19" s="71" t="s">
        <v>13</v>
      </c>
      <c r="H19" s="71"/>
      <c r="I19" s="79">
        <v>1.05</v>
      </c>
      <c r="J19" s="79"/>
      <c r="K19" s="79">
        <v>1.05</v>
      </c>
      <c r="L19" s="79"/>
      <c r="M19" s="79">
        <v>1.05</v>
      </c>
      <c r="N19" s="71" t="s">
        <v>504</v>
      </c>
      <c r="O19" s="68"/>
      <c r="P19" s="68"/>
      <c r="Q19" s="68"/>
      <c r="R19" s="68"/>
      <c r="S19" s="68"/>
      <c r="T19" s="68"/>
      <c r="Z19" s="68"/>
    </row>
    <row r="20" spans="1:26" ht="25.5" customHeight="1" x14ac:dyDescent="0.35">
      <c r="A20" s="68"/>
      <c r="B20" s="68"/>
      <c r="C20" s="68"/>
      <c r="D20" s="70" t="s">
        <v>515</v>
      </c>
      <c r="E20" s="70"/>
      <c r="F20" s="70"/>
      <c r="G20" s="70" t="s">
        <v>516</v>
      </c>
      <c r="H20" s="70"/>
      <c r="I20" s="74">
        <v>30000</v>
      </c>
      <c r="J20" s="74"/>
      <c r="K20" s="74">
        <v>25000</v>
      </c>
      <c r="L20" s="74"/>
      <c r="M20" s="74">
        <v>20000</v>
      </c>
      <c r="N20" s="70" t="s">
        <v>504</v>
      </c>
      <c r="O20" s="68"/>
      <c r="P20" s="68"/>
      <c r="Q20" s="68"/>
      <c r="R20" s="68"/>
      <c r="S20" s="68"/>
      <c r="T20" s="68"/>
      <c r="Z20" s="68"/>
    </row>
    <row r="21" spans="1:26" ht="25.5" customHeight="1" x14ac:dyDescent="0.35">
      <c r="A21" s="68"/>
      <c r="B21" s="68"/>
      <c r="C21" s="68"/>
      <c r="D21" s="71" t="s">
        <v>517</v>
      </c>
      <c r="E21" s="71"/>
      <c r="F21" s="71"/>
      <c r="G21" s="71" t="s">
        <v>516</v>
      </c>
      <c r="H21" s="71"/>
      <c r="I21" s="74">
        <v>0</v>
      </c>
      <c r="J21" s="74"/>
      <c r="K21" s="74">
        <v>0</v>
      </c>
      <c r="L21" s="74"/>
      <c r="M21" s="74">
        <v>0</v>
      </c>
      <c r="N21" s="71" t="s">
        <v>504</v>
      </c>
      <c r="O21" s="68"/>
      <c r="P21" s="68"/>
      <c r="Q21" s="68"/>
      <c r="R21" s="68"/>
      <c r="S21" s="68"/>
      <c r="T21" s="68"/>
      <c r="Z21" s="68"/>
    </row>
    <row r="22" spans="1:26" ht="25.5" customHeight="1" x14ac:dyDescent="0.35">
      <c r="A22" s="68"/>
      <c r="B22" s="68"/>
      <c r="C22" s="68"/>
      <c r="D22" s="70" t="s">
        <v>518</v>
      </c>
      <c r="E22" s="70"/>
      <c r="F22" s="70"/>
      <c r="G22" s="70" t="s">
        <v>104</v>
      </c>
      <c r="H22" s="70"/>
      <c r="I22" s="74">
        <v>1363</v>
      </c>
      <c r="J22" s="74"/>
      <c r="K22" s="74">
        <v>600</v>
      </c>
      <c r="L22" s="74"/>
      <c r="M22" s="74">
        <v>200</v>
      </c>
      <c r="N22" s="70" t="s">
        <v>519</v>
      </c>
      <c r="O22" s="68"/>
      <c r="P22" s="68"/>
      <c r="Q22" s="68"/>
      <c r="R22" s="68"/>
      <c r="S22" s="68"/>
      <c r="T22" s="68"/>
      <c r="Z22" s="68"/>
    </row>
    <row r="23" spans="1:26" ht="25.5" customHeight="1" x14ac:dyDescent="0.35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73"/>
      <c r="O23" s="68"/>
      <c r="P23" s="68"/>
      <c r="Q23" s="68"/>
      <c r="R23" s="68"/>
      <c r="S23" s="68"/>
      <c r="T23" s="68"/>
      <c r="Z23" s="68"/>
    </row>
    <row r="24" spans="1:26" ht="25.5" customHeight="1" x14ac:dyDescent="0.35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73"/>
      <c r="O24" s="68"/>
      <c r="P24" s="68"/>
      <c r="Q24" s="68"/>
      <c r="R24" s="68"/>
      <c r="S24" s="68"/>
      <c r="T24" s="68"/>
      <c r="Z24" s="68"/>
    </row>
    <row r="25" spans="1:26" ht="25.5" customHeight="1" x14ac:dyDescent="0.35">
      <c r="A25" s="68"/>
      <c r="B25" s="68"/>
      <c r="C25" s="68"/>
      <c r="D25" s="81" t="s">
        <v>520</v>
      </c>
      <c r="E25" s="81"/>
      <c r="F25" s="81"/>
      <c r="G25" s="81" t="s">
        <v>2</v>
      </c>
      <c r="H25" s="81"/>
      <c r="I25" s="81" t="s">
        <v>3</v>
      </c>
      <c r="J25" s="81"/>
      <c r="K25" s="81" t="s">
        <v>4</v>
      </c>
      <c r="L25" s="81"/>
      <c r="M25" s="81" t="s">
        <v>5</v>
      </c>
      <c r="N25" s="81" t="s">
        <v>100</v>
      </c>
      <c r="O25" s="68"/>
      <c r="P25" s="68"/>
      <c r="Q25" s="68"/>
      <c r="R25" s="68"/>
      <c r="S25" s="68"/>
      <c r="T25" s="68"/>
      <c r="Z25" s="68"/>
    </row>
    <row r="26" spans="1:26" ht="25.5" customHeight="1" x14ac:dyDescent="0.35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73"/>
      <c r="O26" s="68"/>
      <c r="P26" s="68"/>
      <c r="Q26" s="68"/>
      <c r="R26" s="68"/>
      <c r="S26" s="68"/>
      <c r="T26" s="68"/>
      <c r="Z26" s="68"/>
    </row>
    <row r="27" spans="1:26" ht="25.5" customHeight="1" x14ac:dyDescent="0.35">
      <c r="A27" s="68"/>
      <c r="B27" s="68"/>
      <c r="C27" s="68"/>
      <c r="D27" s="82" t="s">
        <v>521</v>
      </c>
      <c r="E27" s="82"/>
      <c r="F27" s="82"/>
      <c r="G27" s="82" t="s">
        <v>522</v>
      </c>
      <c r="H27" s="82"/>
      <c r="I27" s="84" t="s">
        <v>523</v>
      </c>
      <c r="J27" s="84"/>
      <c r="K27" s="84" t="s">
        <v>523</v>
      </c>
      <c r="L27" s="84"/>
      <c r="M27" s="84" t="s">
        <v>523</v>
      </c>
      <c r="N27" s="82" t="s">
        <v>524</v>
      </c>
      <c r="O27" s="68"/>
      <c r="P27" s="68"/>
      <c r="Q27" s="68"/>
      <c r="R27" s="68"/>
      <c r="S27" s="68"/>
      <c r="T27" s="68"/>
      <c r="Z27" s="68"/>
    </row>
    <row r="28" spans="1:26" ht="25.5" customHeight="1" x14ac:dyDescent="0.35">
      <c r="A28" s="68"/>
      <c r="B28" s="68"/>
      <c r="C28" s="68"/>
      <c r="D28" s="83" t="s">
        <v>525</v>
      </c>
      <c r="E28" s="83"/>
      <c r="F28" s="83"/>
      <c r="G28" s="83" t="s">
        <v>500</v>
      </c>
      <c r="H28" s="83"/>
      <c r="I28" s="105">
        <v>132</v>
      </c>
      <c r="J28" s="106"/>
      <c r="K28" s="105">
        <v>132</v>
      </c>
      <c r="L28" s="106"/>
      <c r="M28" s="105">
        <v>132</v>
      </c>
      <c r="N28" s="83" t="s">
        <v>526</v>
      </c>
      <c r="O28" s="68"/>
      <c r="P28" s="68"/>
      <c r="Q28" s="68"/>
      <c r="R28" s="68"/>
      <c r="S28" s="68"/>
      <c r="T28" s="68"/>
      <c r="Z28" s="68"/>
    </row>
    <row r="29" spans="1:26" ht="25.5" customHeight="1" x14ac:dyDescent="0.35">
      <c r="A29" s="68"/>
      <c r="B29" s="68"/>
      <c r="C29" s="68"/>
      <c r="D29" s="82" t="s">
        <v>514</v>
      </c>
      <c r="E29" s="82"/>
      <c r="F29" s="82"/>
      <c r="G29" s="82" t="s">
        <v>13</v>
      </c>
      <c r="H29" s="82"/>
      <c r="I29" s="107">
        <v>1.1000000000000001</v>
      </c>
      <c r="J29" s="108"/>
      <c r="K29" s="107">
        <v>1.08</v>
      </c>
      <c r="L29" s="108"/>
      <c r="M29" s="107">
        <v>1.06</v>
      </c>
      <c r="N29" s="82" t="s">
        <v>504</v>
      </c>
      <c r="O29" s="68"/>
      <c r="P29" s="68"/>
      <c r="Q29" s="68"/>
      <c r="R29" s="68"/>
      <c r="S29" s="68"/>
      <c r="T29" s="68"/>
      <c r="Z29" s="68"/>
    </row>
    <row r="30" spans="1:26" ht="25.5" customHeight="1" x14ac:dyDescent="0.35">
      <c r="A30" s="68"/>
      <c r="B30" s="68"/>
      <c r="C30" s="68"/>
      <c r="D30" s="83" t="s">
        <v>527</v>
      </c>
      <c r="E30" s="83"/>
      <c r="F30" s="83"/>
      <c r="G30" s="83" t="s">
        <v>528</v>
      </c>
      <c r="H30" s="83"/>
      <c r="I30" s="109">
        <v>1320000</v>
      </c>
      <c r="J30" s="110"/>
      <c r="K30" s="109">
        <v>1250000</v>
      </c>
      <c r="L30" s="110"/>
      <c r="M30" s="109">
        <v>1200000</v>
      </c>
      <c r="N30" s="83" t="s">
        <v>529</v>
      </c>
      <c r="O30" s="68"/>
      <c r="P30" s="68"/>
      <c r="Q30" s="68"/>
      <c r="R30" s="68"/>
      <c r="S30" s="68"/>
      <c r="T30" s="68"/>
      <c r="Z30" s="68"/>
    </row>
    <row r="31" spans="1:26" ht="25.5" customHeight="1" x14ac:dyDescent="0.35">
      <c r="A31" s="68"/>
      <c r="B31" s="68"/>
      <c r="C31" s="68"/>
      <c r="D31" s="82" t="s">
        <v>530</v>
      </c>
      <c r="E31" s="82"/>
      <c r="F31" s="82"/>
      <c r="G31" s="82" t="s">
        <v>22</v>
      </c>
      <c r="H31" s="82"/>
      <c r="I31" s="111">
        <v>30</v>
      </c>
      <c r="J31" s="110"/>
      <c r="K31" s="111">
        <v>30</v>
      </c>
      <c r="L31" s="110"/>
      <c r="M31" s="111">
        <v>30</v>
      </c>
      <c r="N31" s="82" t="s">
        <v>504</v>
      </c>
      <c r="O31" s="68"/>
      <c r="P31" s="68"/>
      <c r="Q31" s="68"/>
      <c r="R31" s="68"/>
      <c r="S31" s="68"/>
      <c r="T31" s="68"/>
      <c r="Z31" s="68"/>
    </row>
    <row r="32" spans="1:26" ht="25.5" customHeight="1" x14ac:dyDescent="0.35">
      <c r="A32" s="68"/>
      <c r="B32" s="68"/>
      <c r="C32" s="68"/>
      <c r="D32" s="83" t="s">
        <v>531</v>
      </c>
      <c r="E32" s="83"/>
      <c r="F32" s="83"/>
      <c r="G32" s="83" t="s">
        <v>528</v>
      </c>
      <c r="H32" s="83"/>
      <c r="I32" s="109">
        <v>250000</v>
      </c>
      <c r="J32" s="110"/>
      <c r="K32" s="109">
        <v>180000</v>
      </c>
      <c r="L32" s="110"/>
      <c r="M32" s="109">
        <v>150000</v>
      </c>
      <c r="N32" s="83" t="s">
        <v>504</v>
      </c>
      <c r="O32" s="68"/>
      <c r="P32" s="68"/>
      <c r="Q32" s="68"/>
      <c r="R32" s="68"/>
      <c r="S32" s="68"/>
      <c r="T32" s="68"/>
      <c r="Z32" s="68"/>
    </row>
    <row r="33" spans="1:26" ht="25.5" customHeight="1" x14ac:dyDescent="0.35">
      <c r="A33" s="68"/>
      <c r="B33" s="68"/>
      <c r="C33" s="68"/>
      <c r="D33" s="82" t="s">
        <v>532</v>
      </c>
      <c r="E33" s="82"/>
      <c r="F33" s="82"/>
      <c r="G33" s="82" t="s">
        <v>22</v>
      </c>
      <c r="H33" s="82"/>
      <c r="I33" s="111">
        <v>10</v>
      </c>
      <c r="J33" s="108"/>
      <c r="K33" s="111">
        <v>10</v>
      </c>
      <c r="L33" s="108"/>
      <c r="M33" s="111">
        <v>10</v>
      </c>
      <c r="N33" s="82" t="s">
        <v>504</v>
      </c>
      <c r="O33" s="68"/>
      <c r="P33" s="68"/>
      <c r="Q33" s="68"/>
      <c r="R33" s="68"/>
      <c r="S33" s="68"/>
      <c r="T33" s="68"/>
      <c r="Z33" s="68"/>
    </row>
    <row r="34" spans="1:26" ht="25.5" customHeight="1" x14ac:dyDescent="0.35">
      <c r="A34" s="68"/>
      <c r="B34" s="68"/>
      <c r="C34" s="68"/>
      <c r="D34" s="83" t="s">
        <v>515</v>
      </c>
      <c r="E34" s="83"/>
      <c r="F34" s="83"/>
      <c r="G34" s="83" t="s">
        <v>516</v>
      </c>
      <c r="H34" s="83"/>
      <c r="I34" s="109">
        <v>90000</v>
      </c>
      <c r="J34" s="108"/>
      <c r="K34" s="109">
        <v>80000</v>
      </c>
      <c r="L34" s="108"/>
      <c r="M34" s="109">
        <v>70000</v>
      </c>
      <c r="N34" s="83" t="s">
        <v>504</v>
      </c>
      <c r="O34" s="68"/>
      <c r="P34" s="68"/>
      <c r="Q34" s="68"/>
      <c r="R34" s="68"/>
      <c r="S34" s="68"/>
      <c r="T34" s="68"/>
      <c r="Z34" s="68"/>
    </row>
    <row r="35" spans="1:26" ht="25.5" customHeight="1" x14ac:dyDescent="0.35">
      <c r="A35" s="68"/>
      <c r="B35" s="68"/>
      <c r="C35" s="68"/>
      <c r="D35" s="82" t="s">
        <v>510</v>
      </c>
      <c r="E35" s="82"/>
      <c r="F35" s="82"/>
      <c r="G35" s="82" t="s">
        <v>528</v>
      </c>
      <c r="H35" s="82"/>
      <c r="I35" s="109">
        <v>3900000</v>
      </c>
      <c r="J35" s="110"/>
      <c r="K35" s="109">
        <v>8000000</v>
      </c>
      <c r="L35" s="110"/>
      <c r="M35" s="109">
        <v>20000000</v>
      </c>
      <c r="N35" s="82" t="s">
        <v>504</v>
      </c>
      <c r="O35" s="68"/>
      <c r="P35" s="68"/>
      <c r="Q35" s="68"/>
      <c r="R35" s="68"/>
      <c r="S35" s="68"/>
      <c r="T35" s="68"/>
      <c r="Z35" s="68"/>
    </row>
    <row r="36" spans="1:26" ht="25.5" customHeight="1" x14ac:dyDescent="0.35">
      <c r="A36" s="68"/>
      <c r="B36" s="68"/>
      <c r="C36" s="68"/>
      <c r="D36" s="83" t="s">
        <v>507</v>
      </c>
      <c r="E36" s="83"/>
      <c r="F36" s="83"/>
      <c r="G36" s="83" t="s">
        <v>22</v>
      </c>
      <c r="H36" s="83"/>
      <c r="I36" s="111">
        <v>5</v>
      </c>
      <c r="J36" s="108"/>
      <c r="K36" s="111">
        <v>5</v>
      </c>
      <c r="L36" s="108"/>
      <c r="M36" s="111">
        <v>5</v>
      </c>
      <c r="N36" s="83" t="s">
        <v>504</v>
      </c>
      <c r="O36" s="68"/>
      <c r="P36" s="68"/>
      <c r="Q36" s="68"/>
      <c r="R36" s="68"/>
      <c r="S36" s="68"/>
      <c r="T36" s="68"/>
      <c r="Z36" s="68"/>
    </row>
    <row r="37" spans="1:26" ht="25.5" customHeight="1" x14ac:dyDescent="0.35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73"/>
      <c r="O37" s="68"/>
      <c r="P37" s="68"/>
      <c r="Q37" s="68"/>
      <c r="R37" s="68"/>
      <c r="S37" s="68"/>
      <c r="T37" s="68"/>
      <c r="Z37" s="68"/>
    </row>
    <row r="38" spans="1:26" ht="25.5" customHeight="1" x14ac:dyDescent="0.35">
      <c r="A38" s="68"/>
      <c r="B38" s="68"/>
      <c r="C38" s="68"/>
      <c r="D38" s="69" t="s">
        <v>533</v>
      </c>
      <c r="E38" s="69"/>
      <c r="F38" s="69"/>
      <c r="G38" s="69" t="s">
        <v>2</v>
      </c>
      <c r="H38" s="69"/>
      <c r="I38" s="69" t="s">
        <v>3</v>
      </c>
      <c r="J38" s="69"/>
      <c r="K38" s="69" t="s">
        <v>4</v>
      </c>
      <c r="L38" s="69"/>
      <c r="M38" s="69" t="s">
        <v>5</v>
      </c>
      <c r="N38" s="69" t="s">
        <v>534</v>
      </c>
      <c r="O38" s="68"/>
      <c r="P38" s="68"/>
      <c r="Q38" s="68"/>
      <c r="R38" s="68"/>
      <c r="S38" s="68"/>
      <c r="T38" s="68"/>
      <c r="Z38" s="68"/>
    </row>
    <row r="39" spans="1:26" ht="25.5" customHeight="1" x14ac:dyDescent="0.35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73"/>
      <c r="O39" s="68"/>
      <c r="P39" s="68"/>
      <c r="Q39" s="68"/>
      <c r="R39" s="68"/>
      <c r="S39" s="68"/>
      <c r="T39" s="68"/>
      <c r="Z39" s="68"/>
    </row>
    <row r="40" spans="1:26" ht="25.5" customHeight="1" x14ac:dyDescent="0.35">
      <c r="A40" s="68"/>
      <c r="B40" s="68"/>
      <c r="C40" s="68"/>
      <c r="D40" s="70" t="s">
        <v>535</v>
      </c>
      <c r="E40" s="70"/>
      <c r="F40" s="70"/>
      <c r="G40" s="70" t="s">
        <v>66</v>
      </c>
      <c r="H40" s="70"/>
      <c r="I40" s="104">
        <f>IFERROR(INDEX($K$153:$K$168,MATCH(I27,$J$153:$J$168,0)),"")</f>
        <v>7.6999999999999999E-2</v>
      </c>
      <c r="J40" s="104"/>
      <c r="K40" s="104">
        <f>IFERROR(INDEX($L$153:$L$168,MATCH(K27,$J$153:$J$168,0)),"")</f>
        <v>7.0000000000000007E-2</v>
      </c>
      <c r="L40" s="104"/>
      <c r="M40" s="104">
        <f>IFERROR(INDEX($M$153:$M$168,MATCH(M27,$J$153:$J$168,0)),"")</f>
        <v>6.5000000000000002E-2</v>
      </c>
      <c r="N40" s="70" t="s">
        <v>536</v>
      </c>
      <c r="O40" s="68"/>
      <c r="P40" s="68"/>
      <c r="Q40" s="68"/>
      <c r="R40" s="68"/>
      <c r="S40" s="68"/>
      <c r="T40" s="68"/>
      <c r="Z40" s="68"/>
    </row>
    <row r="41" spans="1:26" ht="25.5" customHeight="1" x14ac:dyDescent="0.35">
      <c r="A41" s="68"/>
      <c r="B41" s="68"/>
      <c r="C41" s="68"/>
      <c r="D41" s="71" t="s">
        <v>537</v>
      </c>
      <c r="E41" s="71"/>
      <c r="F41" s="71"/>
      <c r="G41" s="71" t="s">
        <v>66</v>
      </c>
      <c r="H41" s="71"/>
      <c r="I41" s="88">
        <f>'Energy Cost Analysis'!I63</f>
        <v>2.7167141040087675E-2</v>
      </c>
      <c r="J41" s="88"/>
      <c r="K41" s="88">
        <f>'Energy Cost Analysis'!K63</f>
        <v>3.0212640733612785E-3</v>
      </c>
      <c r="L41" s="88"/>
      <c r="M41" s="88">
        <f>'Energy Cost Analysis'!M63</f>
        <v>2.5435692994234373E-3</v>
      </c>
      <c r="N41" s="71" t="s">
        <v>538</v>
      </c>
      <c r="O41" s="68"/>
      <c r="P41" s="68"/>
      <c r="Q41" s="68"/>
      <c r="R41" s="68"/>
      <c r="S41" s="68"/>
      <c r="T41" s="68"/>
      <c r="Z41" s="68"/>
    </row>
    <row r="42" spans="1:26" ht="25.5" customHeight="1" x14ac:dyDescent="0.35">
      <c r="A42" s="68"/>
      <c r="B42" s="68"/>
      <c r="C42" s="68"/>
      <c r="D42" s="70" t="s">
        <v>58</v>
      </c>
      <c r="E42" s="70"/>
      <c r="F42" s="70"/>
      <c r="G42" s="70" t="s">
        <v>59</v>
      </c>
      <c r="H42" s="70"/>
      <c r="I42" s="89">
        <f>'Energy Cost Analysis'!I34</f>
        <v>2.2999999999999998</v>
      </c>
      <c r="J42" s="89"/>
      <c r="K42" s="89">
        <f>'Energy Cost Analysis'!K34</f>
        <v>2</v>
      </c>
      <c r="L42" s="89"/>
      <c r="M42" s="89">
        <f>'Energy Cost Analysis'!M34</f>
        <v>1.8</v>
      </c>
      <c r="N42" s="70" t="s">
        <v>539</v>
      </c>
      <c r="O42" s="68"/>
      <c r="P42" s="68"/>
      <c r="Q42" s="68"/>
      <c r="R42" s="68"/>
      <c r="S42" s="68"/>
      <c r="T42" s="68"/>
      <c r="Z42" s="68"/>
    </row>
    <row r="43" spans="1:26" ht="25.5" customHeight="1" x14ac:dyDescent="0.35">
      <c r="A43" s="68"/>
      <c r="B43" s="68"/>
      <c r="C43" s="68"/>
      <c r="D43" s="71" t="s">
        <v>540</v>
      </c>
      <c r="E43" s="71"/>
      <c r="F43" s="71"/>
      <c r="G43" s="71" t="s">
        <v>22</v>
      </c>
      <c r="H43" s="71"/>
      <c r="I43" s="90">
        <f>'Energy Cost Analysis'!I15</f>
        <v>5</v>
      </c>
      <c r="J43" s="90"/>
      <c r="K43" s="90">
        <f>'Energy Cost Analysis'!K15</f>
        <v>30</v>
      </c>
      <c r="L43" s="90"/>
      <c r="M43" s="90">
        <f>'Energy Cost Analysis'!M15</f>
        <v>30</v>
      </c>
      <c r="N43" s="71" t="s">
        <v>541</v>
      </c>
      <c r="O43" s="68"/>
      <c r="P43" s="68"/>
      <c r="Q43" s="68"/>
      <c r="R43" s="68"/>
      <c r="S43" s="68"/>
      <c r="T43" s="68"/>
      <c r="Z43" s="68"/>
    </row>
    <row r="44" spans="1:26" ht="25.5" customHeight="1" x14ac:dyDescent="0.35">
      <c r="A44" s="68"/>
      <c r="B44" s="68"/>
      <c r="C44" s="68"/>
      <c r="D44" s="70" t="s">
        <v>542</v>
      </c>
      <c r="E44" s="70"/>
      <c r="F44" s="70"/>
      <c r="G44" s="70" t="s">
        <v>37</v>
      </c>
      <c r="H44" s="70"/>
      <c r="I44" s="78">
        <f>'Energy Cost Analysis'!I35</f>
        <v>0.21</v>
      </c>
      <c r="J44" s="78"/>
      <c r="K44" s="78">
        <f>'Energy Cost Analysis'!K35</f>
        <v>0.24</v>
      </c>
      <c r="L44" s="78"/>
      <c r="M44" s="78">
        <f>'Energy Cost Analysis'!M35</f>
        <v>0.26</v>
      </c>
      <c r="N44" s="70" t="s">
        <v>543</v>
      </c>
      <c r="O44" s="68"/>
      <c r="P44" s="68"/>
      <c r="Q44" s="68"/>
      <c r="R44" s="68"/>
      <c r="S44" s="68"/>
      <c r="T44" s="68"/>
      <c r="Z44" s="68"/>
    </row>
    <row r="45" spans="1:26" ht="25.5" customHeight="1" x14ac:dyDescent="0.35">
      <c r="A45" s="68"/>
      <c r="B45" s="68"/>
      <c r="C45" s="68"/>
      <c r="D45" s="71" t="s">
        <v>10</v>
      </c>
      <c r="E45" s="71"/>
      <c r="F45" s="71"/>
      <c r="G45" s="71" t="s">
        <v>8</v>
      </c>
      <c r="H45" s="71"/>
      <c r="I45" s="90">
        <f>'Energy Cost Analysis'!I11</f>
        <v>32.659999999999997</v>
      </c>
      <c r="J45" s="90"/>
      <c r="K45" s="90">
        <f>'Energy Cost Analysis'!K11</f>
        <v>32.659999999999997</v>
      </c>
      <c r="L45" s="90"/>
      <c r="M45" s="90">
        <f>'Energy Cost Analysis'!M11</f>
        <v>32.659999999999997</v>
      </c>
      <c r="N45" s="71" t="s">
        <v>544</v>
      </c>
      <c r="O45" s="68"/>
      <c r="P45" s="68"/>
      <c r="Q45" s="68"/>
      <c r="R45" s="68"/>
      <c r="S45" s="68"/>
      <c r="T45" s="68"/>
      <c r="Z45" s="68"/>
    </row>
    <row r="46" spans="1:26" ht="25.5" customHeight="1" x14ac:dyDescent="0.35">
      <c r="A46" s="68"/>
      <c r="B46" s="68"/>
      <c r="C46" s="68"/>
      <c r="D46" s="70" t="s">
        <v>545</v>
      </c>
      <c r="E46" s="70"/>
      <c r="F46" s="70"/>
      <c r="G46" s="70" t="s">
        <v>500</v>
      </c>
      <c r="H46" s="70"/>
      <c r="I46" s="76">
        <f>IF(OR(I10="",I19=""),"",I10*I19)</f>
        <v>105</v>
      </c>
      <c r="J46" s="76"/>
      <c r="K46" s="76">
        <f>IF(OR(K10="",K19=""),"",K10*K19)</f>
        <v>105</v>
      </c>
      <c r="L46" s="76"/>
      <c r="M46" s="76">
        <f>IF(OR(M10="",M19=""),"",M10*M19)</f>
        <v>105</v>
      </c>
      <c r="N46" s="70" t="s">
        <v>546</v>
      </c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1:26" ht="25.5" customHeight="1" x14ac:dyDescent="0.35">
      <c r="A47" s="68"/>
      <c r="B47" s="68"/>
      <c r="C47" s="68"/>
      <c r="D47" s="71" t="s">
        <v>547</v>
      </c>
      <c r="E47" s="71"/>
      <c r="F47" s="71"/>
      <c r="G47" s="71" t="s">
        <v>548</v>
      </c>
      <c r="H47" s="71"/>
      <c r="I47" s="77">
        <f>IF(OR(I46="",I45="",I44=""),"",I46/(I45/24*I44))</f>
        <v>367.42192284139628</v>
      </c>
      <c r="J47" s="77"/>
      <c r="K47" s="77">
        <f>IF(OR(K46="",K45="",K44=""),"",K46/(K45/24*K44))</f>
        <v>321.49418248622175</v>
      </c>
      <c r="L47" s="77"/>
      <c r="M47" s="77">
        <f>IF(OR(M46="",M45="",M44=""),"",M46/(M45/24*M44))</f>
        <v>296.76386075651237</v>
      </c>
      <c r="N47" s="71" t="s">
        <v>549</v>
      </c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1:26" ht="25.5" customHeight="1" x14ac:dyDescent="0.35">
      <c r="A48" s="68"/>
      <c r="B48" s="68"/>
      <c r="C48" s="68"/>
      <c r="D48" s="70" t="s">
        <v>550</v>
      </c>
      <c r="E48" s="70"/>
      <c r="F48" s="70"/>
      <c r="G48" s="70" t="s">
        <v>503</v>
      </c>
      <c r="H48" s="70"/>
      <c r="I48" s="76">
        <f>IF(OR(I47="",I42=""),"",I47*I42)</f>
        <v>845.07042253521138</v>
      </c>
      <c r="J48" s="76"/>
      <c r="K48" s="76">
        <f>IF(OR(K47="",K42=""),"",K47*K42)</f>
        <v>642.98836497244349</v>
      </c>
      <c r="L48" s="76"/>
      <c r="M48" s="76">
        <f>IF(OR(M47="",M42=""),"",M47*M42)</f>
        <v>534.17494936172227</v>
      </c>
      <c r="N48" s="70" t="s">
        <v>551</v>
      </c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1:26" ht="25.5" customHeight="1" x14ac:dyDescent="0.35">
      <c r="A49" s="68"/>
      <c r="B49" s="68"/>
      <c r="C49" s="68"/>
      <c r="D49" s="71" t="s">
        <v>552</v>
      </c>
      <c r="E49" s="71"/>
      <c r="F49" s="71"/>
      <c r="G49" s="71" t="s">
        <v>503</v>
      </c>
      <c r="H49" s="71"/>
      <c r="I49" s="77">
        <f>IF(OR(I11="",I12="",I13="",I48=""),"",I11+I12+I13+I48)</f>
        <v>2395.0704225352115</v>
      </c>
      <c r="J49" s="77"/>
      <c r="K49" s="77">
        <f>IF(OR(K11="",K12="",K13="",K48=""),"",K11+K12+K13+K48)</f>
        <v>1992.9883649724434</v>
      </c>
      <c r="L49" s="77"/>
      <c r="M49" s="77">
        <f>IF(OR(M11="",M12="",M13="",M48=""),"",M11+M12+M13+M48)</f>
        <v>1684.1749493617222</v>
      </c>
      <c r="N49" s="71" t="s">
        <v>553</v>
      </c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1:26" ht="25.5" customHeight="1" x14ac:dyDescent="0.35">
      <c r="A50" s="68"/>
      <c r="B50" s="68"/>
      <c r="C50" s="68"/>
      <c r="D50" s="70" t="s">
        <v>554</v>
      </c>
      <c r="E50" s="70"/>
      <c r="F50" s="70"/>
      <c r="G50" s="70" t="s">
        <v>555</v>
      </c>
      <c r="H50" s="70"/>
      <c r="I50" s="76">
        <f>IF(OR(I11="",I12="",I13="",I14="",I15="",I43="",I48="",I14=0,I15=0,I43=0),"",I11/I14+I12/I15+I13/I15+I48/I43)</f>
        <v>479.0140845070423</v>
      </c>
      <c r="J50" s="76"/>
      <c r="K50" s="76">
        <f>IF(OR(K11="",K12="",K13="",K14="",K15="",K43="",K48="",K14=0,K15=0,K43=0),"",K11/K14+K12/K15+K13/K15+K48/K43)</f>
        <v>291.43294549908143</v>
      </c>
      <c r="L50" s="76"/>
      <c r="M50" s="76">
        <f>IF(OR(M11="",M12="",M13="",M14="",M15="",M43="",M48="",M14=0,M15=0,M43=0),"",M11/M14+M12/M15+M13/M15+M48/M43)</f>
        <v>247.80583164539075</v>
      </c>
      <c r="N50" s="70" t="s">
        <v>556</v>
      </c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1:26" ht="25.5" customHeight="1" x14ac:dyDescent="0.35">
      <c r="A51" s="68"/>
      <c r="B51" s="68"/>
      <c r="C51" s="68"/>
      <c r="D51" s="71" t="s">
        <v>557</v>
      </c>
      <c r="E51" s="71"/>
      <c r="F51" s="71"/>
      <c r="G51" s="71" t="s">
        <v>558</v>
      </c>
      <c r="H51" s="71"/>
      <c r="I51" s="77">
        <f>IF(OR(I46=""),"",I46*8760)</f>
        <v>919800</v>
      </c>
      <c r="J51" s="77"/>
      <c r="K51" s="77">
        <f>IF(OR(K46=""),"",K46*8760)</f>
        <v>919800</v>
      </c>
      <c r="L51" s="77"/>
      <c r="M51" s="77">
        <f>IF(OR(M46=""),"",M46*8760)</f>
        <v>919800</v>
      </c>
      <c r="N51" s="71" t="s">
        <v>559</v>
      </c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1:26" ht="25.5" customHeight="1" x14ac:dyDescent="0.35">
      <c r="A52" s="68"/>
      <c r="B52" s="68"/>
      <c r="C52" s="68"/>
      <c r="D52" s="70" t="s">
        <v>560</v>
      </c>
      <c r="E52" s="70"/>
      <c r="F52" s="70"/>
      <c r="G52" s="70" t="s">
        <v>500</v>
      </c>
      <c r="H52" s="70"/>
      <c r="I52" s="76">
        <f>IF(OR(I28="",I29=""),"",I28*I29)</f>
        <v>145.20000000000002</v>
      </c>
      <c r="J52" s="76"/>
      <c r="K52" s="76">
        <f>IF(OR(K28="",K29=""),"",K28*K29)</f>
        <v>142.56</v>
      </c>
      <c r="L52" s="76"/>
      <c r="M52" s="76">
        <f>IF(OR(M28="",M29=""),"",M28*M29)</f>
        <v>139.92000000000002</v>
      </c>
      <c r="N52" s="70" t="s">
        <v>561</v>
      </c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1:26" ht="25.5" customHeight="1" x14ac:dyDescent="0.35">
      <c r="A53" s="68"/>
      <c r="B53" s="68"/>
      <c r="C53" s="68"/>
      <c r="D53" s="71" t="s">
        <v>562</v>
      </c>
      <c r="E53" s="71"/>
      <c r="F53" s="71"/>
      <c r="G53" s="71" t="s">
        <v>558</v>
      </c>
      <c r="H53" s="71"/>
      <c r="I53" s="77">
        <f>IF(OR(I52=""),"",I52*8760)</f>
        <v>1271952.0000000002</v>
      </c>
      <c r="J53" s="77"/>
      <c r="K53" s="77">
        <f>IF(OR(K52=""),"",K52*8760)</f>
        <v>1248825.6000000001</v>
      </c>
      <c r="L53" s="77"/>
      <c r="M53" s="77">
        <f>IF(OR(M52=""),"",M52*8760)</f>
        <v>1225699.2000000002</v>
      </c>
      <c r="N53" s="71" t="s">
        <v>563</v>
      </c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1:26" ht="25.5" customHeight="1" x14ac:dyDescent="0.35">
      <c r="A54" s="68"/>
      <c r="B54" s="68"/>
      <c r="C54" s="68"/>
      <c r="D54" s="70" t="s">
        <v>564</v>
      </c>
      <c r="E54" s="70"/>
      <c r="F54" s="70"/>
      <c r="G54" s="70" t="s">
        <v>516</v>
      </c>
      <c r="H54" s="70"/>
      <c r="I54" s="91">
        <f>IF(OR(I51="",I41=""),"",I51*I41)</f>
        <v>24988.336328672645</v>
      </c>
      <c r="J54" s="91"/>
      <c r="K54" s="91">
        <f>IF(OR(K51="",K41=""),"",K51*K41)</f>
        <v>2778.958694677704</v>
      </c>
      <c r="L54" s="91"/>
      <c r="M54" s="91">
        <f>IF(OR(M51="",M41=""),"",M51*M41)</f>
        <v>2339.5750416096776</v>
      </c>
      <c r="N54" s="70" t="s">
        <v>565</v>
      </c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1:26" ht="25.5" customHeight="1" x14ac:dyDescent="0.35">
      <c r="A55" s="68"/>
      <c r="B55" s="68"/>
      <c r="C55" s="68"/>
      <c r="D55" s="71" t="s">
        <v>566</v>
      </c>
      <c r="E55" s="71"/>
      <c r="F55" s="71"/>
      <c r="G55" s="71" t="s">
        <v>516</v>
      </c>
      <c r="H55" s="71"/>
      <c r="I55" s="92">
        <f>IF(OR(I53="",I40=""),"",I53*I40)</f>
        <v>97940.304000000018</v>
      </c>
      <c r="J55" s="92"/>
      <c r="K55" s="92">
        <f>IF(OR(K53="",K40=""),"",K53*K40)</f>
        <v>87417.792000000016</v>
      </c>
      <c r="L55" s="92"/>
      <c r="M55" s="92">
        <f>IF(OR(M53="",M40=""),"",M53*M40)</f>
        <v>79670.448000000019</v>
      </c>
      <c r="N55" s="71" t="s">
        <v>567</v>
      </c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1:26" ht="25.5" customHeight="1" x14ac:dyDescent="0.35">
      <c r="A56" s="68"/>
      <c r="B56" s="68"/>
      <c r="C56" s="68"/>
      <c r="D56" s="70" t="s">
        <v>568</v>
      </c>
      <c r="E56" s="70"/>
      <c r="F56" s="70"/>
      <c r="G56" s="70" t="s">
        <v>516</v>
      </c>
      <c r="H56" s="70"/>
      <c r="I56" s="91">
        <f>IF(OR(ISBLANK(I22),NOT(ISNUMBER(I50)),I50=0),"",I22*I50)</f>
        <v>652896.19718309864</v>
      </c>
      <c r="J56" s="91"/>
      <c r="K56" s="91">
        <f>IF(OR(ISBLANK(K22),NOT(ISNUMBER(K50)),K50=0),"",K22*K50)</f>
        <v>174859.76729944887</v>
      </c>
      <c r="L56" s="91"/>
      <c r="M56" s="91">
        <f>IF(OR(ISBLANK(M22),NOT(ISNUMBER(M50)),M50=0),"",M22*M50)</f>
        <v>49561.166329078151</v>
      </c>
      <c r="N56" s="70" t="s">
        <v>569</v>
      </c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1:26" ht="25.5" customHeight="1" x14ac:dyDescent="0.35">
      <c r="A57" s="68"/>
      <c r="B57" s="68"/>
      <c r="C57" s="68"/>
      <c r="D57" s="71" t="s">
        <v>570</v>
      </c>
      <c r="E57" s="71"/>
      <c r="F57" s="71"/>
      <c r="G57" s="71" t="s">
        <v>516</v>
      </c>
      <c r="H57" s="71"/>
      <c r="I57" s="92">
        <f>IF(OR(ISBLANK(I16),ISBLANK(I14),ISBLANK(I17),ISBLANK(I15),ISBLANK(I18),NOT(ISNUMBER(I54)),ISBLANK(I20),ISBLANK(I21),I14=0,I15=0),"",I16/I14+I17/I15+I18/I15+I54+I20+I21)</f>
        <v>963170.15451049071</v>
      </c>
      <c r="J57" s="92"/>
      <c r="K57" s="92">
        <f>IF(OR(ISBLANK(K16),ISBLANK(K14),ISBLANK(K17),ISBLANK(K15),ISBLANK(K18),NOT(ISNUMBER(K54)),ISBLANK(K20),ISBLANK(K21),K14=0,K15=0),"",K16/K14+K17/K15+K18/K15+K54+K20+K21)</f>
        <v>1698536.5344522535</v>
      </c>
      <c r="L57" s="92"/>
      <c r="M57" s="92">
        <f>IF(OR(ISBLANK(M16),ISBLANK(M14),ISBLANK(M17),ISBLANK(M15),ISBLANK(M18),NOT(ISNUMBER(M54)),ISBLANK(M20),ISBLANK(M21),M14=0,M15=0),"",M16/M14+M17/M15+M18/M15+M54+M20+M21)</f>
        <v>4031733.5144355488</v>
      </c>
      <c r="N57" s="71" t="s">
        <v>571</v>
      </c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1:26" ht="25.5" customHeight="1" x14ac:dyDescent="0.35">
      <c r="A58" s="68"/>
      <c r="B58" s="68"/>
      <c r="C58" s="68"/>
      <c r="D58" s="70" t="s">
        <v>572</v>
      </c>
      <c r="E58" s="70"/>
      <c r="F58" s="70"/>
      <c r="G58" s="70" t="s">
        <v>516</v>
      </c>
      <c r="H58" s="70"/>
      <c r="I58" s="91">
        <f>IF(OR(NOT(ISNUMBER(I57)),NOT(ISNUMBER(I56))),"",I57+I56)</f>
        <v>1616066.3516935892</v>
      </c>
      <c r="J58" s="91"/>
      <c r="K58" s="91">
        <f>IF(OR(NOT(ISNUMBER(K57)),NOT(ISNUMBER(K56))),"",K57+K56)</f>
        <v>1873396.3017517023</v>
      </c>
      <c r="L58" s="91"/>
      <c r="M58" s="91">
        <f>IF(OR(NOT(ISNUMBER(M57)),NOT(ISNUMBER(M56))),"",M57+M56)</f>
        <v>4081294.6807646272</v>
      </c>
      <c r="N58" s="70" t="s">
        <v>573</v>
      </c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1:26" ht="25.5" customHeight="1" x14ac:dyDescent="0.35">
      <c r="A59" s="68"/>
      <c r="B59" s="68"/>
      <c r="C59" s="68"/>
      <c r="D59" s="71" t="s">
        <v>574</v>
      </c>
      <c r="E59" s="71"/>
      <c r="F59" s="71"/>
      <c r="G59" s="71" t="s">
        <v>516</v>
      </c>
      <c r="H59" s="71"/>
      <c r="I59" s="92">
        <f>IF(OR(ISBLANK(I35),ISBLANK(I36),ISBLANK(I30),ISBLANK(I31),ISBLANK(I32),ISBLANK(I33),NOT(ISNUMBER(I55)),ISBLANK(I34),I31=0,I33=0,I36=0),"",I35/I36+I30/I31+I32/I33+I55+I34)</f>
        <v>1036940.304</v>
      </c>
      <c r="J59" s="92"/>
      <c r="K59" s="92">
        <f>IF(OR(ISBLANK(K35),ISBLANK(K36),ISBLANK(K30),ISBLANK(K31),ISBLANK(K32),ISBLANK(K33),NOT(ISNUMBER(K55)),ISBLANK(K34),K31=0,K33=0,K36=0),"",K35/K36+K30/K31+K32/K33+K55+K34)</f>
        <v>1827084.4586666669</v>
      </c>
      <c r="L59" s="92"/>
      <c r="M59" s="92">
        <f>IF(OR(ISBLANK(M35),ISBLANK(M36),ISBLANK(M30),ISBLANK(M31),ISBLANK(M32),ISBLANK(M33),NOT(ISNUMBER(M55)),ISBLANK(M34),M31=0,M33=0,M36=0),"",M35/M36+M30/M31+M32/M33+M55+M34)</f>
        <v>4204670.4479999999</v>
      </c>
      <c r="N59" s="71" t="s">
        <v>575</v>
      </c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1:26" ht="25.5" customHeight="1" x14ac:dyDescent="0.35">
      <c r="A60" s="68"/>
      <c r="B60" s="68"/>
      <c r="C60" s="68"/>
      <c r="D60" s="68"/>
      <c r="E60" s="68"/>
      <c r="F60" s="68"/>
      <c r="G60" s="68"/>
      <c r="H60" s="68"/>
      <c r="I60" s="85"/>
      <c r="J60" s="85"/>
      <c r="K60" s="85"/>
      <c r="L60" s="85"/>
      <c r="M60" s="85"/>
      <c r="N60" s="73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1:26" ht="25.5" customHeight="1" x14ac:dyDescent="0.35">
      <c r="A61" s="68"/>
      <c r="B61" s="68"/>
      <c r="C61" s="68"/>
      <c r="D61" s="68"/>
      <c r="E61" s="68"/>
      <c r="F61" s="68"/>
      <c r="G61" s="68"/>
      <c r="H61" s="68"/>
      <c r="I61" s="85"/>
      <c r="J61" s="85"/>
      <c r="K61" s="85"/>
      <c r="L61" s="85"/>
      <c r="M61" s="85"/>
      <c r="N61" s="73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1:26" ht="25.5" customHeight="1" x14ac:dyDescent="0.35">
      <c r="A62" s="68"/>
      <c r="B62" s="68"/>
      <c r="C62" s="68"/>
      <c r="D62" s="69" t="s">
        <v>99</v>
      </c>
      <c r="E62" s="69"/>
      <c r="F62" s="69"/>
      <c r="G62" s="69" t="s">
        <v>2</v>
      </c>
      <c r="H62" s="69"/>
      <c r="I62" s="86" t="s">
        <v>3</v>
      </c>
      <c r="J62" s="86"/>
      <c r="K62" s="86" t="s">
        <v>4</v>
      </c>
      <c r="L62" s="86"/>
      <c r="M62" s="86" t="s">
        <v>5</v>
      </c>
      <c r="N62" s="69" t="s">
        <v>100</v>
      </c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1:26" ht="25.5" customHeight="1" x14ac:dyDescent="0.35">
      <c r="A63" s="68"/>
      <c r="B63" s="68"/>
      <c r="C63" s="68"/>
      <c r="D63" s="68"/>
      <c r="E63" s="68"/>
      <c r="F63" s="68"/>
      <c r="G63" s="68"/>
      <c r="H63" s="68"/>
      <c r="I63" s="85"/>
      <c r="J63" s="85"/>
      <c r="K63" s="85"/>
      <c r="L63" s="85"/>
      <c r="M63" s="85"/>
      <c r="N63" s="73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1:26" ht="25.5" customHeight="1" x14ac:dyDescent="0.35">
      <c r="A64" s="68"/>
      <c r="B64" s="68"/>
      <c r="C64" s="68"/>
      <c r="D64" s="72" t="s">
        <v>576</v>
      </c>
      <c r="E64" s="72"/>
      <c r="F64" s="72"/>
      <c r="G64" s="72" t="s">
        <v>516</v>
      </c>
      <c r="H64" s="72"/>
      <c r="I64" s="93">
        <f>IF(ISNUMBER(I58),I58,"Inputs pending")</f>
        <v>1616066.3516935892</v>
      </c>
      <c r="J64" s="93"/>
      <c r="K64" s="93">
        <f>IF(ISNUMBER(K58),K58,"Inputs pending")</f>
        <v>1873396.3017517023</v>
      </c>
      <c r="L64" s="93"/>
      <c r="M64" s="93">
        <f>IF(ISNUMBER(M58),M58,"Inputs pending")</f>
        <v>4081294.6807646272</v>
      </c>
      <c r="N64" s="72" t="s">
        <v>577</v>
      </c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1:26" ht="25.5" customHeight="1" x14ac:dyDescent="0.35">
      <c r="A65" s="68"/>
      <c r="B65" s="68"/>
      <c r="C65" s="68"/>
      <c r="D65" s="72" t="s">
        <v>578</v>
      </c>
      <c r="E65" s="72"/>
      <c r="F65" s="72"/>
      <c r="G65" s="72" t="s">
        <v>579</v>
      </c>
      <c r="H65" s="72"/>
      <c r="I65" s="94">
        <f>IF(OR(NOT(ISNUMBER(I58)),ISBLANK(I10),I10=0),"Inputs pending",I58/I10)</f>
        <v>16160.663516935892</v>
      </c>
      <c r="J65" s="94"/>
      <c r="K65" s="94">
        <f>IF(OR(NOT(ISNUMBER(K58)),ISBLANK(K10),K10=0),"Inputs pending",K58/K10)</f>
        <v>18733.963017517024</v>
      </c>
      <c r="L65" s="94"/>
      <c r="M65" s="94">
        <f>IF(OR(NOT(ISNUMBER(M58)),ISBLANK(M10),M10=0),"Inputs pending",M58/M10)</f>
        <v>40812.946807646273</v>
      </c>
      <c r="N65" s="72" t="s">
        <v>580</v>
      </c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1:26" ht="25.5" customHeight="1" x14ac:dyDescent="0.35">
      <c r="A66" s="68"/>
      <c r="B66" s="68"/>
      <c r="C66" s="68"/>
      <c r="D66" s="72" t="s">
        <v>578</v>
      </c>
      <c r="E66" s="72"/>
      <c r="F66" s="72"/>
      <c r="G66" s="72" t="s">
        <v>581</v>
      </c>
      <c r="H66" s="72"/>
      <c r="I66" s="94">
        <f>IF(OR(NOT(ISNUMBER(I58)),ISBLANK(I10),I10=0),"Inputs pending",I58/(I10*1000))</f>
        <v>16.160663516935891</v>
      </c>
      <c r="J66" s="94"/>
      <c r="K66" s="94">
        <f>IF(OR(NOT(ISNUMBER(K58)),ISBLANK(K10),K10=0),"Inputs pending",K58/(K10*1000))</f>
        <v>18.733963017517024</v>
      </c>
      <c r="L66" s="94"/>
      <c r="M66" s="94">
        <f>IF(OR(NOT(ISNUMBER(M58)),ISBLANK(M10),M10=0),"Inputs pending",M58/(M10*1000))</f>
        <v>40.81294680764627</v>
      </c>
      <c r="N66" s="72" t="s">
        <v>582</v>
      </c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spans="1:26" ht="25.5" customHeight="1" x14ac:dyDescent="0.35">
      <c r="A67" s="68"/>
      <c r="B67" s="68"/>
      <c r="C67" s="68"/>
      <c r="D67" s="72" t="s">
        <v>583</v>
      </c>
      <c r="E67" s="72"/>
      <c r="F67" s="72"/>
      <c r="G67" s="72" t="s">
        <v>516</v>
      </c>
      <c r="H67" s="72"/>
      <c r="I67" s="93">
        <f>IF(ISNUMBER(I59),I59,"Inputs pending")</f>
        <v>1036940.304</v>
      </c>
      <c r="J67" s="93"/>
      <c r="K67" s="93">
        <f>IF(ISNUMBER(K59),K59,"Inputs pending")</f>
        <v>1827084.4586666669</v>
      </c>
      <c r="L67" s="93"/>
      <c r="M67" s="93">
        <f>IF(ISNUMBER(M59),M59,"Inputs pending")</f>
        <v>4204670.4479999999</v>
      </c>
      <c r="N67" s="72" t="s">
        <v>584</v>
      </c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ht="25.5" customHeight="1" x14ac:dyDescent="0.35">
      <c r="A68" s="68"/>
      <c r="B68" s="68"/>
      <c r="C68" s="68"/>
      <c r="D68" s="72" t="s">
        <v>585</v>
      </c>
      <c r="E68" s="72"/>
      <c r="F68" s="72"/>
      <c r="G68" s="72" t="s">
        <v>579</v>
      </c>
      <c r="H68" s="72"/>
      <c r="I68" s="94">
        <f>IF(OR(NOT(ISNUMBER(I59)),ISBLANK(I28),I28=0),"Inputs pending",I59/I28)</f>
        <v>7855.6083636363637</v>
      </c>
      <c r="J68" s="94"/>
      <c r="K68" s="94">
        <f>IF(OR(NOT(ISNUMBER(K59)),ISBLANK(K28),K28=0),"Inputs pending",K59/K28)</f>
        <v>13841.548929292931</v>
      </c>
      <c r="L68" s="94"/>
      <c r="M68" s="94">
        <f>IF(OR(NOT(ISNUMBER(M59)),ISBLANK(M28),M28=0),"Inputs pending",M59/M28)</f>
        <v>31853.563999999998</v>
      </c>
      <c r="N68" s="72" t="s">
        <v>586</v>
      </c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spans="1:26" ht="25.5" customHeight="1" x14ac:dyDescent="0.35">
      <c r="A69" s="68"/>
      <c r="B69" s="68"/>
      <c r="C69" s="68"/>
      <c r="D69" s="72" t="s">
        <v>585</v>
      </c>
      <c r="E69" s="72"/>
      <c r="F69" s="72"/>
      <c r="G69" s="72" t="s">
        <v>581</v>
      </c>
      <c r="H69" s="72"/>
      <c r="I69" s="94">
        <f>IF(OR(NOT(ISNUMBER(I59)),ISBLANK(I28),I28=0),"Inputs pending",I59/(I28*1000))</f>
        <v>7.8556083636363638</v>
      </c>
      <c r="J69" s="94"/>
      <c r="K69" s="94">
        <f>IF(OR(NOT(ISNUMBER(K59)),ISBLANK(K28),K28=0),"Inputs pending",K59/(K28*1000))</f>
        <v>13.84154892929293</v>
      </c>
      <c r="L69" s="94"/>
      <c r="M69" s="94">
        <f>IF(OR(NOT(ISNUMBER(M59)),ISBLANK(M28),M28=0),"Inputs pending",M59/(M28*1000))</f>
        <v>31.853563999999999</v>
      </c>
      <c r="N69" s="72" t="s">
        <v>587</v>
      </c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spans="1:26" ht="25.5" customHeight="1" x14ac:dyDescent="0.35">
      <c r="A70" s="68"/>
      <c r="B70" s="68"/>
      <c r="C70" s="68"/>
      <c r="D70" s="72" t="s">
        <v>588</v>
      </c>
      <c r="E70" s="72"/>
      <c r="F70" s="72"/>
      <c r="G70" s="72" t="s">
        <v>104</v>
      </c>
      <c r="H70" s="72"/>
      <c r="I70" s="93">
        <f>IF(OR(NOT(ISNUMBER(I59)),ISBLANK(I28),I28=0,NOT(ISNUMBER(I57)),ISBLANK(I10),I10=0,NOT(ISNUMBER(I50)),I50=0),"Inputs pending",((I59/I28)-(I57/I10))*I10/I50)</f>
        <v>-370.78099348505305</v>
      </c>
      <c r="J70" s="93"/>
      <c r="K70" s="93">
        <f>IF(OR(NOT(ISNUMBER(K59)),ISBLANK(K28),K28=0,NOT(ISNUMBER(K57)),ISBLANK(K10),K10=0,NOT(ISNUMBER(K50)),K50=0),"Inputs pending",((K59/K28)-(K57/K10))*K10/K50)</f>
        <v>-1078.7443436931237</v>
      </c>
      <c r="L70" s="93"/>
      <c r="M70" s="93">
        <f>IF(OR(NOT(ISNUMBER(M59)),ISBLANK(M28),M28=0,NOT(ISNUMBER(M57)),ISBLANK(M10),M10=0,NOT(ISNUMBER(M50)),M50=0),"Inputs pending",((M59/M28)-(M57/M10))*M10/M50)</f>
        <v>-3415.4850546322546</v>
      </c>
      <c r="N70" s="72" t="s">
        <v>589</v>
      </c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spans="1:26" ht="25.5" customHeight="1" x14ac:dyDescent="0.35">
      <c r="A71" s="68"/>
      <c r="B71" s="68"/>
      <c r="C71" s="68"/>
      <c r="D71" s="72" t="s">
        <v>590</v>
      </c>
      <c r="E71" s="72"/>
      <c r="F71" s="72"/>
      <c r="G71" s="72" t="s">
        <v>591</v>
      </c>
      <c r="H71" s="72"/>
      <c r="I71" s="87" t="str">
        <f>IF(ISNUMBER(I58),"Ready","Inputs pending")</f>
        <v>Ready</v>
      </c>
      <c r="J71" s="87"/>
      <c r="K71" s="87" t="str">
        <f>IF(ISNUMBER(K58),"Ready","Inputs pending")</f>
        <v>Ready</v>
      </c>
      <c r="L71" s="87"/>
      <c r="M71" s="87" t="str">
        <f>IF(ISNUMBER(M58),"Ready","Inputs pending")</f>
        <v>Ready</v>
      </c>
      <c r="N71" s="72" t="s">
        <v>592</v>
      </c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spans="1:26" ht="25.5" customHeight="1" x14ac:dyDescent="0.35">
      <c r="A72" s="68"/>
      <c r="B72" s="68"/>
      <c r="C72" s="68"/>
      <c r="D72" s="72" t="s">
        <v>593</v>
      </c>
      <c r="E72" s="72"/>
      <c r="F72" s="72"/>
      <c r="G72" s="72" t="s">
        <v>591</v>
      </c>
      <c r="H72" s="72"/>
      <c r="I72" s="87" t="str">
        <f>IF(ISNUMBER(I59),"Ready","Inputs pending")</f>
        <v>Ready</v>
      </c>
      <c r="J72" s="87"/>
      <c r="K72" s="87" t="str">
        <f>IF(ISNUMBER(K59),"Ready","Inputs pending")</f>
        <v>Ready</v>
      </c>
      <c r="L72" s="87"/>
      <c r="M72" s="87" t="str">
        <f>IF(ISNUMBER(M59),"Ready","Inputs pending")</f>
        <v>Ready</v>
      </c>
      <c r="N72" s="72" t="s">
        <v>594</v>
      </c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spans="1:26" x14ac:dyDescent="0.35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73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spans="1:26" x14ac:dyDescent="0.35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73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spans="1:26" x14ac:dyDescent="0.35">
      <c r="A75" s="68"/>
      <c r="B75" s="68"/>
      <c r="C75" s="68"/>
      <c r="D75" s="69" t="s">
        <v>595</v>
      </c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8"/>
      <c r="U75" s="68"/>
      <c r="V75" s="68"/>
      <c r="W75" s="68"/>
      <c r="X75" s="68"/>
      <c r="Y75" s="68"/>
      <c r="Z75" s="68"/>
    </row>
    <row r="76" spans="1:26" x14ac:dyDescent="0.35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73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spans="1:26" x14ac:dyDescent="0.35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73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spans="1:26" ht="19.5" customHeight="1" x14ac:dyDescent="0.35">
      <c r="A78" s="68"/>
      <c r="B78" s="68"/>
      <c r="C78" s="68"/>
      <c r="D78" s="68"/>
      <c r="E78" s="68"/>
      <c r="F78" s="68"/>
      <c r="G78" s="68"/>
      <c r="H78" s="68"/>
      <c r="I78" s="147" t="s">
        <v>596</v>
      </c>
      <c r="J78" s="147" t="s">
        <v>596</v>
      </c>
      <c r="K78" s="147" t="s">
        <v>596</v>
      </c>
      <c r="L78" s="68"/>
      <c r="M78" s="68"/>
      <c r="N78" s="73"/>
      <c r="O78" s="68"/>
      <c r="P78" s="68"/>
      <c r="Q78" s="147" t="s">
        <v>597</v>
      </c>
      <c r="R78" s="147" t="s">
        <v>597</v>
      </c>
      <c r="S78" s="147" t="s">
        <v>597</v>
      </c>
      <c r="T78" s="68"/>
      <c r="U78" s="68"/>
      <c r="V78" s="68"/>
      <c r="W78" s="68"/>
      <c r="X78" s="68"/>
      <c r="Y78" s="68"/>
      <c r="Z78" s="68"/>
    </row>
    <row r="79" spans="1:26" ht="16.5" customHeight="1" x14ac:dyDescent="0.35">
      <c r="A79" s="68"/>
      <c r="B79" s="68"/>
      <c r="C79" s="68"/>
      <c r="D79" s="68"/>
      <c r="E79" s="68"/>
      <c r="F79" s="68"/>
      <c r="G79" s="68"/>
      <c r="H79" s="68"/>
      <c r="I79" s="146" t="s">
        <v>598</v>
      </c>
      <c r="J79" s="146"/>
      <c r="K79" s="95">
        <f>IF(ISNUMBER(I58),I58,"Inputs pending")</f>
        <v>1616066.3516935892</v>
      </c>
      <c r="L79" s="68"/>
      <c r="M79" s="68"/>
      <c r="N79" s="73"/>
      <c r="O79" s="68"/>
      <c r="P79" s="68"/>
      <c r="Q79" s="146" t="s">
        <v>599</v>
      </c>
      <c r="R79" s="146"/>
      <c r="S79" s="95">
        <f>IF(ISNUMBER(I59),I59,"Inputs pending")</f>
        <v>1036940.304</v>
      </c>
      <c r="T79" s="68"/>
      <c r="U79" s="68"/>
      <c r="V79" s="68"/>
      <c r="W79" s="68"/>
      <c r="X79" s="68"/>
      <c r="Y79" s="68"/>
      <c r="Z79" s="68"/>
    </row>
    <row r="80" spans="1:26" ht="16.5" customHeight="1" x14ac:dyDescent="0.35">
      <c r="A80" s="68"/>
      <c r="B80" s="68"/>
      <c r="C80" s="68"/>
      <c r="D80" s="68"/>
      <c r="E80" s="68"/>
      <c r="F80" s="68"/>
      <c r="G80" s="68"/>
      <c r="H80" s="68"/>
      <c r="I80" s="145" t="s">
        <v>600</v>
      </c>
      <c r="J80" s="145"/>
      <c r="K80" s="97">
        <f>IF(OR(NOT(ISNUMBER(I58)),ISBLANK(I10),I10=0),"Inputs pending",I58/I10)</f>
        <v>16160.663516935892</v>
      </c>
      <c r="L80" s="68"/>
      <c r="M80" s="68"/>
      <c r="N80" s="73"/>
      <c r="O80" s="68"/>
      <c r="P80" s="68"/>
      <c r="Q80" s="145" t="s">
        <v>600</v>
      </c>
      <c r="R80" s="145"/>
      <c r="S80" s="97">
        <f>IF(OR(NOT(ISNUMBER(I59)),ISBLANK(I28),I28=0),"Inputs pending",I59/I28)</f>
        <v>7855.6083636363637</v>
      </c>
      <c r="T80" s="68"/>
      <c r="U80" s="68"/>
      <c r="V80" s="68"/>
      <c r="W80" s="68"/>
      <c r="X80" s="68"/>
      <c r="Y80" s="68"/>
      <c r="Z80" s="68"/>
    </row>
    <row r="81" spans="1:26" ht="16.5" customHeight="1" x14ac:dyDescent="0.35">
      <c r="A81" s="68"/>
      <c r="B81" s="68"/>
      <c r="C81" s="68"/>
      <c r="D81" s="68"/>
      <c r="E81" s="68"/>
      <c r="F81" s="68"/>
      <c r="G81" s="68"/>
      <c r="H81" s="68"/>
      <c r="I81" s="146" t="s">
        <v>601</v>
      </c>
      <c r="J81" s="146"/>
      <c r="K81" s="98">
        <f>IF(OR(NOT(ISNUMBER(I58)),ISBLANK(I10),I10=0),"Inputs pending",I58/(I10*1000))</f>
        <v>16.160663516935891</v>
      </c>
      <c r="L81" s="68"/>
      <c r="M81" s="68"/>
      <c r="N81" s="73"/>
      <c r="O81" s="68"/>
      <c r="P81" s="68"/>
      <c r="Q81" s="146" t="s">
        <v>601</v>
      </c>
      <c r="R81" s="146"/>
      <c r="S81" s="98">
        <f>IF(OR(NOT(ISNUMBER(I59)),ISBLANK(I28),I28=0),"Inputs pending",I59/(I28*1000))</f>
        <v>7.8556083636363638</v>
      </c>
      <c r="T81" s="68"/>
      <c r="U81" s="68"/>
      <c r="V81" s="68"/>
      <c r="W81" s="68"/>
      <c r="X81" s="68"/>
      <c r="Y81" s="68"/>
      <c r="Z81" s="68"/>
    </row>
    <row r="82" spans="1:26" ht="16.5" customHeight="1" x14ac:dyDescent="0.35">
      <c r="A82" s="68"/>
      <c r="B82" s="68"/>
      <c r="C82" s="68"/>
      <c r="D82" s="68"/>
      <c r="E82" s="68"/>
      <c r="F82" s="68"/>
      <c r="G82" s="68"/>
      <c r="H82" s="68"/>
      <c r="I82" s="145" t="s">
        <v>602</v>
      </c>
      <c r="J82" s="145"/>
      <c r="K82" s="96">
        <f>IF(ISBLANK(I22),"Inputs pending",I22)</f>
        <v>1363</v>
      </c>
      <c r="L82" s="68"/>
      <c r="M82" s="68"/>
      <c r="N82" s="73"/>
      <c r="O82" s="68"/>
      <c r="P82" s="68"/>
      <c r="Q82" s="145" t="s">
        <v>603</v>
      </c>
      <c r="R82" s="145"/>
      <c r="S82" s="96" t="str">
        <f>I27</f>
        <v>Nat Gas New Build</v>
      </c>
      <c r="T82" s="68"/>
      <c r="U82" s="68"/>
      <c r="V82" s="68"/>
      <c r="W82" s="68"/>
      <c r="X82" s="68"/>
      <c r="Y82" s="68"/>
      <c r="Z82" s="68"/>
    </row>
    <row r="83" spans="1:26" ht="16.5" customHeight="1" x14ac:dyDescent="0.35">
      <c r="A83" s="68"/>
      <c r="B83" s="68"/>
      <c r="C83" s="68"/>
      <c r="D83" s="68"/>
      <c r="E83" s="68"/>
      <c r="F83" s="68"/>
      <c r="G83" s="68"/>
      <c r="H83" s="68"/>
      <c r="I83" s="146" t="s">
        <v>604</v>
      </c>
      <c r="J83" s="146" t="s">
        <v>604</v>
      </c>
      <c r="K83" s="95">
        <f>IF(I70="Inputs pending","Inputs pending",I70)</f>
        <v>-370.78099348505305</v>
      </c>
      <c r="L83" s="68"/>
      <c r="M83" s="68"/>
      <c r="N83" s="73"/>
      <c r="O83" s="68"/>
      <c r="P83" s="68"/>
      <c r="Q83" s="146" t="s">
        <v>605</v>
      </c>
      <c r="R83" s="146"/>
      <c r="S83" s="99">
        <f>I40</f>
        <v>7.6999999999999999E-2</v>
      </c>
      <c r="T83" s="68"/>
      <c r="U83" s="68"/>
      <c r="V83" s="68"/>
      <c r="W83" s="68"/>
      <c r="X83" s="68"/>
      <c r="Y83" s="68"/>
      <c r="Z83" s="68"/>
    </row>
    <row r="84" spans="1:26" ht="16.5" customHeight="1" x14ac:dyDescent="0.35">
      <c r="A84" s="68"/>
      <c r="B84" s="68"/>
      <c r="C84" s="68"/>
      <c r="D84" s="68"/>
      <c r="E84" s="68"/>
      <c r="F84" s="68"/>
      <c r="G84" s="68"/>
      <c r="H84" s="68"/>
      <c r="I84" s="145" t="s">
        <v>606</v>
      </c>
      <c r="J84" s="145"/>
      <c r="K84" s="96" t="str">
        <f>IF(ISNUMBER(I58),"Ready","Inputs pending")</f>
        <v>Ready</v>
      </c>
      <c r="L84" s="68"/>
      <c r="M84" s="68"/>
      <c r="N84" s="73"/>
      <c r="O84" s="68"/>
      <c r="P84" s="68"/>
      <c r="Q84" s="145" t="s">
        <v>606</v>
      </c>
      <c r="R84" s="145"/>
      <c r="S84" s="96" t="str">
        <f>IF(ISNUMBER(I59),"Ready","Inputs pending")</f>
        <v>Ready</v>
      </c>
      <c r="T84" s="68"/>
      <c r="U84" s="68"/>
      <c r="V84" s="68"/>
      <c r="W84" s="68"/>
      <c r="X84" s="68"/>
      <c r="Y84" s="68"/>
      <c r="Z84" s="68"/>
    </row>
    <row r="85" spans="1:26" x14ac:dyDescent="0.3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73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spans="1:26" x14ac:dyDescent="0.35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73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spans="1:26" x14ac:dyDescent="0.35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73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spans="1:26" x14ac:dyDescent="0.35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73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spans="1:26" x14ac:dyDescent="0.35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73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spans="1:26" x14ac:dyDescent="0.35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73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spans="1:26" x14ac:dyDescent="0.3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73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spans="1:26" x14ac:dyDescent="0.3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73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spans="1:26" x14ac:dyDescent="0.35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73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spans="1:26" x14ac:dyDescent="0.35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73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spans="1:26" x14ac:dyDescent="0.3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73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spans="1:26" x14ac:dyDescent="0.35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73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spans="1:26" x14ac:dyDescent="0.35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73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spans="1:26" x14ac:dyDescent="0.35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73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spans="1:26" x14ac:dyDescent="0.35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73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spans="1:26" ht="19.5" customHeight="1" x14ac:dyDescent="0.35">
      <c r="A100" s="68"/>
      <c r="B100" s="68"/>
      <c r="C100" s="68"/>
      <c r="D100" s="68"/>
      <c r="E100" s="68"/>
      <c r="F100" s="68"/>
      <c r="G100" s="68"/>
      <c r="H100" s="68"/>
      <c r="I100" s="147" t="s">
        <v>607</v>
      </c>
      <c r="J100" s="147" t="s">
        <v>607</v>
      </c>
      <c r="K100" s="147" t="s">
        <v>607</v>
      </c>
      <c r="L100" s="68"/>
      <c r="M100" s="68"/>
      <c r="N100" s="73"/>
      <c r="O100" s="68"/>
      <c r="P100" s="68"/>
      <c r="Q100" s="147" t="s">
        <v>608</v>
      </c>
      <c r="R100" s="147" t="s">
        <v>608</v>
      </c>
      <c r="S100" s="147" t="s">
        <v>608</v>
      </c>
      <c r="T100" s="68"/>
      <c r="U100" s="68"/>
      <c r="V100" s="68"/>
      <c r="W100" s="68"/>
      <c r="X100" s="68"/>
      <c r="Y100" s="68"/>
      <c r="Z100" s="68"/>
    </row>
    <row r="101" spans="1:26" ht="16.5" customHeight="1" x14ac:dyDescent="0.35">
      <c r="A101" s="68"/>
      <c r="B101" s="68"/>
      <c r="C101" s="68"/>
      <c r="D101" s="68"/>
      <c r="E101" s="68"/>
      <c r="F101" s="68"/>
      <c r="G101" s="68"/>
      <c r="H101" s="68"/>
      <c r="I101" s="146" t="s">
        <v>598</v>
      </c>
      <c r="J101" s="146"/>
      <c r="K101" s="95">
        <f>IF(ISNUMBER(K58),K58,"Inputs pending")</f>
        <v>1873396.3017517023</v>
      </c>
      <c r="L101" s="68"/>
      <c r="M101" s="68"/>
      <c r="N101" s="73"/>
      <c r="O101" s="68"/>
      <c r="P101" s="68"/>
      <c r="Q101" s="146" t="s">
        <v>599</v>
      </c>
      <c r="R101" s="146"/>
      <c r="S101" s="95">
        <f>IF(ISNUMBER(K59),K59,"Inputs pending")</f>
        <v>1827084.4586666669</v>
      </c>
      <c r="T101" s="68"/>
      <c r="U101" s="68"/>
      <c r="V101" s="68"/>
      <c r="W101" s="68"/>
      <c r="X101" s="68"/>
      <c r="Y101" s="68"/>
      <c r="Z101" s="68"/>
    </row>
    <row r="102" spans="1:26" ht="16.5" customHeight="1" x14ac:dyDescent="0.35">
      <c r="A102" s="68"/>
      <c r="B102" s="68"/>
      <c r="C102" s="68"/>
      <c r="D102" s="68"/>
      <c r="E102" s="68"/>
      <c r="F102" s="68"/>
      <c r="G102" s="68"/>
      <c r="H102" s="68"/>
      <c r="I102" s="145" t="s">
        <v>600</v>
      </c>
      <c r="J102" s="145"/>
      <c r="K102" s="97">
        <f>IF(OR(NOT(ISNUMBER(K58)),ISBLANK(K10),K10=0),"Inputs pending",K58/K10)</f>
        <v>18733.963017517024</v>
      </c>
      <c r="L102" s="68"/>
      <c r="M102" s="68"/>
      <c r="N102" s="73"/>
      <c r="O102" s="68"/>
      <c r="P102" s="68"/>
      <c r="Q102" s="145" t="s">
        <v>600</v>
      </c>
      <c r="R102" s="145"/>
      <c r="S102" s="97">
        <f>IF(OR(NOT(ISNUMBER(K59)),ISBLANK(K28),K28=0),"Inputs pending",K59/K28)</f>
        <v>13841.548929292931</v>
      </c>
      <c r="T102" s="68"/>
      <c r="U102" s="68"/>
      <c r="V102" s="68"/>
      <c r="W102" s="68"/>
      <c r="X102" s="68"/>
      <c r="Y102" s="68"/>
      <c r="Z102" s="68"/>
    </row>
    <row r="103" spans="1:26" ht="16.5" customHeight="1" x14ac:dyDescent="0.35">
      <c r="A103" s="68"/>
      <c r="B103" s="68"/>
      <c r="C103" s="68"/>
      <c r="D103" s="68"/>
      <c r="E103" s="68"/>
      <c r="F103" s="68"/>
      <c r="G103" s="68"/>
      <c r="H103" s="68"/>
      <c r="I103" s="146" t="s">
        <v>601</v>
      </c>
      <c r="J103" s="146"/>
      <c r="K103" s="98">
        <f>IF(OR(NOT(ISNUMBER(K58)),ISBLANK(K10),K10=0),"Inputs pending",K58/(K10*1000))</f>
        <v>18.733963017517024</v>
      </c>
      <c r="L103" s="68"/>
      <c r="M103" s="68"/>
      <c r="N103" s="73"/>
      <c r="O103" s="68"/>
      <c r="P103" s="68"/>
      <c r="Q103" s="146" t="s">
        <v>601</v>
      </c>
      <c r="R103" s="146"/>
      <c r="S103" s="98">
        <f>IF(OR(NOT(ISNUMBER(K59)),ISBLANK(K28),K28=0),"Inputs pending",K59/(K28*1000))</f>
        <v>13.84154892929293</v>
      </c>
      <c r="T103" s="68"/>
      <c r="U103" s="68"/>
      <c r="V103" s="68"/>
      <c r="W103" s="68"/>
      <c r="X103" s="68"/>
      <c r="Y103" s="68"/>
      <c r="Z103" s="68"/>
    </row>
    <row r="104" spans="1:26" ht="16.5" customHeight="1" x14ac:dyDescent="0.35">
      <c r="A104" s="68"/>
      <c r="B104" s="68"/>
      <c r="C104" s="68"/>
      <c r="D104" s="68"/>
      <c r="E104" s="68"/>
      <c r="F104" s="68"/>
      <c r="G104" s="68"/>
      <c r="H104" s="68"/>
      <c r="I104" s="145" t="s">
        <v>602</v>
      </c>
      <c r="J104" s="145"/>
      <c r="K104" s="96">
        <f>IF(ISBLANK(K22),"Inputs pending",K22)</f>
        <v>600</v>
      </c>
      <c r="L104" s="68"/>
      <c r="M104" s="68"/>
      <c r="N104" s="73"/>
      <c r="O104" s="68"/>
      <c r="P104" s="68"/>
      <c r="Q104" s="145" t="s">
        <v>603</v>
      </c>
      <c r="R104" s="145"/>
      <c r="S104" s="96" t="str">
        <f>K27</f>
        <v>Nat Gas New Build</v>
      </c>
      <c r="T104" s="68"/>
      <c r="U104" s="68"/>
      <c r="V104" s="68"/>
      <c r="W104" s="68"/>
      <c r="X104" s="68"/>
      <c r="Y104" s="68"/>
      <c r="Z104" s="68"/>
    </row>
    <row r="105" spans="1:26" ht="16.5" customHeight="1" x14ac:dyDescent="0.35">
      <c r="A105" s="68"/>
      <c r="B105" s="68"/>
      <c r="C105" s="68"/>
      <c r="D105" s="68"/>
      <c r="E105" s="68"/>
      <c r="F105" s="68"/>
      <c r="G105" s="68"/>
      <c r="H105" s="68"/>
      <c r="I105" s="146" t="s">
        <v>604</v>
      </c>
      <c r="J105" s="146" t="s">
        <v>604</v>
      </c>
      <c r="K105" s="95">
        <f>IF(K70="Inputs pending","Inputs pending",K70)</f>
        <v>-1078.7443436931237</v>
      </c>
      <c r="L105" s="68"/>
      <c r="M105" s="68"/>
      <c r="N105" s="73"/>
      <c r="O105" s="68"/>
      <c r="P105" s="68"/>
      <c r="Q105" s="146" t="s">
        <v>605</v>
      </c>
      <c r="R105" s="146"/>
      <c r="S105" s="99">
        <f>K40</f>
        <v>7.0000000000000007E-2</v>
      </c>
      <c r="T105" s="68"/>
      <c r="U105" s="68"/>
      <c r="V105" s="68"/>
      <c r="W105" s="68"/>
      <c r="X105" s="68"/>
      <c r="Y105" s="68"/>
      <c r="Z105" s="68"/>
    </row>
    <row r="106" spans="1:26" ht="16.5" customHeight="1" x14ac:dyDescent="0.35">
      <c r="A106" s="68"/>
      <c r="B106" s="68"/>
      <c r="C106" s="68"/>
      <c r="D106" s="68"/>
      <c r="E106" s="68"/>
      <c r="F106" s="68"/>
      <c r="G106" s="68"/>
      <c r="H106" s="68"/>
      <c r="I106" s="145" t="s">
        <v>606</v>
      </c>
      <c r="J106" s="145"/>
      <c r="K106" s="96" t="str">
        <f>IF(ISNUMBER(K58),"Ready","Inputs pending")</f>
        <v>Ready</v>
      </c>
      <c r="L106" s="68"/>
      <c r="M106" s="68"/>
      <c r="N106" s="73"/>
      <c r="O106" s="68"/>
      <c r="P106" s="68"/>
      <c r="Q106" s="145" t="s">
        <v>606</v>
      </c>
      <c r="R106" s="145"/>
      <c r="S106" s="96" t="str">
        <f>IF(ISNUMBER(K59),"Ready","Inputs pending")</f>
        <v>Ready</v>
      </c>
      <c r="T106" s="68"/>
      <c r="U106" s="68"/>
      <c r="V106" s="68"/>
      <c r="W106" s="68"/>
      <c r="X106" s="68"/>
      <c r="Y106" s="68"/>
      <c r="Z106" s="68"/>
    </row>
    <row r="107" spans="1:26" x14ac:dyDescent="0.35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73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spans="1:26" x14ac:dyDescent="0.35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73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spans="1:26" x14ac:dyDescent="0.35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73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spans="1:26" x14ac:dyDescent="0.35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73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spans="1:26" x14ac:dyDescent="0.35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73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spans="1:26" x14ac:dyDescent="0.35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73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spans="1:26" x14ac:dyDescent="0.35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73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spans="1:26" x14ac:dyDescent="0.35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73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spans="1:26" x14ac:dyDescent="0.3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73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spans="1:26" x14ac:dyDescent="0.35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73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spans="1:26" x14ac:dyDescent="0.35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73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spans="1:26" x14ac:dyDescent="0.35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73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spans="1:26" x14ac:dyDescent="0.35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73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spans="1:26" x14ac:dyDescent="0.35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73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spans="1:26" x14ac:dyDescent="0.35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73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spans="1:26" ht="19.5" customHeight="1" x14ac:dyDescent="0.35">
      <c r="A122" s="68"/>
      <c r="B122" s="68"/>
      <c r="C122" s="68"/>
      <c r="D122" s="68"/>
      <c r="E122" s="68"/>
      <c r="F122" s="68"/>
      <c r="G122" s="68"/>
      <c r="H122" s="68"/>
      <c r="I122" s="147" t="s">
        <v>609</v>
      </c>
      <c r="J122" s="147" t="s">
        <v>609</v>
      </c>
      <c r="K122" s="147" t="s">
        <v>609</v>
      </c>
      <c r="L122" s="68"/>
      <c r="M122" s="68"/>
      <c r="N122" s="73"/>
      <c r="O122" s="68"/>
      <c r="P122" s="68"/>
      <c r="Q122" s="147" t="s">
        <v>610</v>
      </c>
      <c r="R122" s="147" t="s">
        <v>610</v>
      </c>
      <c r="S122" s="147" t="s">
        <v>610</v>
      </c>
      <c r="T122" s="68"/>
      <c r="U122" s="68"/>
      <c r="V122" s="68"/>
      <c r="W122" s="68"/>
      <c r="X122" s="68"/>
      <c r="Y122" s="68"/>
      <c r="Z122" s="68"/>
    </row>
    <row r="123" spans="1:26" ht="16.5" customHeight="1" x14ac:dyDescent="0.35">
      <c r="A123" s="68"/>
      <c r="B123" s="68"/>
      <c r="C123" s="68"/>
      <c r="D123" s="68"/>
      <c r="E123" s="68"/>
      <c r="F123" s="68"/>
      <c r="G123" s="68"/>
      <c r="H123" s="68"/>
      <c r="I123" s="146" t="s">
        <v>598</v>
      </c>
      <c r="J123" s="146"/>
      <c r="K123" s="95">
        <f>IF(ISNUMBER(M58),M58,"Inputs pending")</f>
        <v>4081294.6807646272</v>
      </c>
      <c r="L123" s="68"/>
      <c r="M123" s="68"/>
      <c r="N123" s="73"/>
      <c r="O123" s="68"/>
      <c r="P123" s="68"/>
      <c r="Q123" s="146" t="s">
        <v>599</v>
      </c>
      <c r="R123" s="146"/>
      <c r="S123" s="95">
        <f>IF(ISNUMBER(M59),M59,"Inputs pending")</f>
        <v>4204670.4479999999</v>
      </c>
      <c r="T123" s="68"/>
      <c r="U123" s="68"/>
      <c r="V123" s="68"/>
      <c r="W123" s="68"/>
      <c r="X123" s="68"/>
      <c r="Y123" s="68"/>
      <c r="Z123" s="68"/>
    </row>
    <row r="124" spans="1:26" ht="16.5" customHeight="1" x14ac:dyDescent="0.35">
      <c r="A124" s="68"/>
      <c r="B124" s="68"/>
      <c r="C124" s="68"/>
      <c r="D124" s="68"/>
      <c r="E124" s="68"/>
      <c r="F124" s="68"/>
      <c r="G124" s="68"/>
      <c r="H124" s="68"/>
      <c r="I124" s="145" t="s">
        <v>600</v>
      </c>
      <c r="J124" s="145"/>
      <c r="K124" s="97">
        <f>IF(OR(NOT(ISNUMBER(M58)),ISBLANK(M10),M10=0),"Inputs pending",M58/M10)</f>
        <v>40812.946807646273</v>
      </c>
      <c r="L124" s="68"/>
      <c r="M124" s="68"/>
      <c r="N124" s="73"/>
      <c r="O124" s="68"/>
      <c r="P124" s="68"/>
      <c r="Q124" s="145" t="s">
        <v>600</v>
      </c>
      <c r="R124" s="145"/>
      <c r="S124" s="97">
        <f>IF(OR(NOT(ISNUMBER(M59)),ISBLANK(M28),M28=0),"Inputs pending",M59/M28)</f>
        <v>31853.563999999998</v>
      </c>
      <c r="T124" s="68"/>
      <c r="U124" s="68"/>
      <c r="V124" s="68"/>
      <c r="W124" s="68"/>
      <c r="X124" s="68"/>
      <c r="Y124" s="68"/>
      <c r="Z124" s="68"/>
    </row>
    <row r="125" spans="1:26" ht="16.5" customHeight="1" x14ac:dyDescent="0.35">
      <c r="A125" s="68"/>
      <c r="B125" s="68"/>
      <c r="C125" s="68"/>
      <c r="D125" s="68"/>
      <c r="E125" s="68"/>
      <c r="F125" s="68"/>
      <c r="G125" s="68"/>
      <c r="H125" s="68"/>
      <c r="I125" s="146" t="s">
        <v>601</v>
      </c>
      <c r="J125" s="146"/>
      <c r="K125" s="98">
        <f>IF(OR(NOT(ISNUMBER(M58)),ISBLANK(M10),M10=0),"Inputs pending",M58/(M10*1000))</f>
        <v>40.81294680764627</v>
      </c>
      <c r="L125" s="68"/>
      <c r="M125" s="68"/>
      <c r="N125" s="73"/>
      <c r="O125" s="68"/>
      <c r="P125" s="68"/>
      <c r="Q125" s="146" t="s">
        <v>601</v>
      </c>
      <c r="R125" s="146"/>
      <c r="S125" s="98">
        <f>IF(OR(NOT(ISNUMBER(M59)),ISBLANK(M28),M28=0),"Inputs pending",M59/(M28*1000))</f>
        <v>31.853563999999999</v>
      </c>
      <c r="T125" s="68"/>
      <c r="U125" s="68"/>
      <c r="V125" s="68"/>
      <c r="W125" s="68"/>
      <c r="X125" s="68"/>
      <c r="Y125" s="68"/>
      <c r="Z125" s="68"/>
    </row>
    <row r="126" spans="1:26" ht="16.5" customHeight="1" x14ac:dyDescent="0.35">
      <c r="A126" s="68"/>
      <c r="B126" s="68"/>
      <c r="C126" s="68"/>
      <c r="D126" s="68"/>
      <c r="E126" s="68"/>
      <c r="F126" s="68"/>
      <c r="G126" s="68"/>
      <c r="H126" s="68"/>
      <c r="I126" s="145" t="s">
        <v>602</v>
      </c>
      <c r="J126" s="145"/>
      <c r="K126" s="96">
        <f>IF(ISBLANK(M22),"Inputs pending",M22)</f>
        <v>200</v>
      </c>
      <c r="L126" s="68"/>
      <c r="M126" s="68"/>
      <c r="N126" s="73"/>
      <c r="O126" s="68"/>
      <c r="P126" s="68"/>
      <c r="Q126" s="145" t="s">
        <v>603</v>
      </c>
      <c r="R126" s="145"/>
      <c r="S126" s="96" t="str">
        <f>M27</f>
        <v>Nat Gas New Build</v>
      </c>
      <c r="T126" s="68"/>
      <c r="U126" s="68"/>
      <c r="V126" s="68"/>
      <c r="W126" s="68"/>
      <c r="X126" s="68"/>
      <c r="Y126" s="68"/>
      <c r="Z126" s="68"/>
    </row>
    <row r="127" spans="1:26" ht="16.5" customHeight="1" x14ac:dyDescent="0.35">
      <c r="A127" s="68"/>
      <c r="B127" s="68"/>
      <c r="C127" s="68"/>
      <c r="D127" s="68"/>
      <c r="E127" s="68"/>
      <c r="F127" s="68"/>
      <c r="G127" s="68"/>
      <c r="H127" s="68"/>
      <c r="I127" s="146" t="s">
        <v>604</v>
      </c>
      <c r="J127" s="146" t="s">
        <v>604</v>
      </c>
      <c r="K127" s="95">
        <f>IF(M70="Inputs pending","Inputs pending",M70)</f>
        <v>-3415.4850546322546</v>
      </c>
      <c r="L127" s="68"/>
      <c r="M127" s="68"/>
      <c r="N127" s="73"/>
      <c r="O127" s="68"/>
      <c r="P127" s="68"/>
      <c r="Q127" s="146" t="s">
        <v>605</v>
      </c>
      <c r="R127" s="146"/>
      <c r="S127" s="99">
        <f>M40</f>
        <v>6.5000000000000002E-2</v>
      </c>
      <c r="T127" s="68"/>
      <c r="U127" s="68"/>
      <c r="V127" s="68"/>
      <c r="W127" s="68"/>
      <c r="X127" s="68"/>
      <c r="Y127" s="68"/>
      <c r="Z127" s="68"/>
    </row>
    <row r="128" spans="1:26" ht="16.5" customHeight="1" x14ac:dyDescent="0.35">
      <c r="A128" s="68"/>
      <c r="B128" s="68"/>
      <c r="C128" s="68"/>
      <c r="D128" s="68"/>
      <c r="E128" s="68"/>
      <c r="F128" s="68"/>
      <c r="G128" s="68"/>
      <c r="H128" s="68"/>
      <c r="I128" s="145" t="s">
        <v>606</v>
      </c>
      <c r="J128" s="145"/>
      <c r="K128" s="96" t="str">
        <f>IF(ISNUMBER(M58),"Ready","Inputs pending")</f>
        <v>Ready</v>
      </c>
      <c r="L128" s="68"/>
      <c r="M128" s="68"/>
      <c r="N128" s="73"/>
      <c r="O128" s="68"/>
      <c r="P128" s="68"/>
      <c r="Q128" s="145" t="s">
        <v>606</v>
      </c>
      <c r="R128" s="145"/>
      <c r="S128" s="96" t="str">
        <f>IF(ISNUMBER(M59),"Ready","Inputs pending")</f>
        <v>Ready</v>
      </c>
      <c r="T128" s="68"/>
      <c r="U128" s="68"/>
      <c r="V128" s="68"/>
      <c r="W128" s="68"/>
      <c r="X128" s="68"/>
      <c r="Y128" s="68"/>
      <c r="Z128" s="68"/>
    </row>
    <row r="129" spans="1:26" x14ac:dyDescent="0.35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73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spans="1:26" x14ac:dyDescent="0.35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73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spans="1:26" x14ac:dyDescent="0.35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73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spans="1:26" x14ac:dyDescent="0.35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73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spans="1:26" x14ac:dyDescent="0.35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73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spans="1:26" x14ac:dyDescent="0.35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73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spans="1:26" x14ac:dyDescent="0.3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73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spans="1:26" x14ac:dyDescent="0.35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73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spans="1:26" x14ac:dyDescent="0.35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73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spans="1:26" x14ac:dyDescent="0.35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73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spans="1:26" x14ac:dyDescent="0.35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73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spans="1:26" x14ac:dyDescent="0.35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73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spans="1:26" x14ac:dyDescent="0.35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73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spans="1:26" x14ac:dyDescent="0.35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73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spans="1:26" x14ac:dyDescent="0.35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73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spans="1:26" x14ac:dyDescent="0.35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73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spans="1:26" x14ac:dyDescent="0.35">
      <c r="A145" s="68"/>
      <c r="B145" s="68"/>
      <c r="C145" s="68"/>
      <c r="D145" s="69" t="s">
        <v>611</v>
      </c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8"/>
      <c r="U145" s="68"/>
      <c r="V145" s="68"/>
      <c r="W145" s="68"/>
      <c r="X145" s="68"/>
      <c r="Y145" s="68"/>
      <c r="Z145" s="68"/>
    </row>
    <row r="146" spans="1:26" ht="25.5" customHeight="1" x14ac:dyDescent="0.35">
      <c r="A146" s="68"/>
      <c r="B146" s="68"/>
      <c r="C146" s="68"/>
      <c r="D146" s="70" t="s">
        <v>612</v>
      </c>
      <c r="E146" s="70"/>
      <c r="F146" s="70"/>
      <c r="G146" s="70" t="s">
        <v>613</v>
      </c>
      <c r="H146" s="70"/>
      <c r="I146" s="70"/>
      <c r="J146" s="70"/>
      <c r="K146" s="70"/>
      <c r="L146" s="70"/>
      <c r="M146" s="70"/>
      <c r="N146" s="70" t="s">
        <v>614</v>
      </c>
      <c r="O146" s="70"/>
      <c r="P146" s="70"/>
      <c r="Q146" s="70"/>
      <c r="R146" s="70"/>
      <c r="S146" s="70"/>
      <c r="T146" s="68"/>
      <c r="U146" s="68"/>
      <c r="V146" s="68"/>
      <c r="W146" s="68"/>
      <c r="X146" s="68"/>
      <c r="Y146" s="68"/>
      <c r="Z146" s="68"/>
    </row>
    <row r="147" spans="1:26" ht="25.5" customHeight="1" x14ac:dyDescent="0.35">
      <c r="A147" s="68"/>
      <c r="B147" s="68"/>
      <c r="C147" s="68"/>
      <c r="D147" s="70" t="s">
        <v>615</v>
      </c>
      <c r="E147" s="70"/>
      <c r="F147" s="70"/>
      <c r="G147" s="70" t="s">
        <v>616</v>
      </c>
      <c r="H147" s="70"/>
      <c r="I147" s="70"/>
      <c r="J147" s="70"/>
      <c r="K147" s="70"/>
      <c r="L147" s="70"/>
      <c r="M147" s="70"/>
      <c r="N147" s="70" t="s">
        <v>617</v>
      </c>
      <c r="O147" s="70"/>
      <c r="P147" s="70"/>
      <c r="Q147" s="70"/>
      <c r="R147" s="70"/>
      <c r="S147" s="70"/>
      <c r="T147" s="68"/>
      <c r="U147" s="68"/>
      <c r="V147" s="68"/>
      <c r="W147" s="68"/>
      <c r="X147" s="68"/>
      <c r="Y147" s="68"/>
      <c r="Z147" s="68"/>
    </row>
    <row r="148" spans="1:26" ht="25.5" customHeight="1" x14ac:dyDescent="0.35">
      <c r="A148" s="68"/>
      <c r="B148" s="68"/>
      <c r="C148" s="68"/>
      <c r="D148" s="70" t="s">
        <v>618</v>
      </c>
      <c r="E148" s="70"/>
      <c r="F148" s="70"/>
      <c r="G148" s="70" t="s">
        <v>619</v>
      </c>
      <c r="H148" s="70"/>
      <c r="I148" s="70"/>
      <c r="J148" s="70"/>
      <c r="K148" s="70"/>
      <c r="L148" s="70"/>
      <c r="M148" s="70"/>
      <c r="N148" s="70" t="s">
        <v>620</v>
      </c>
      <c r="O148" s="70"/>
      <c r="P148" s="70"/>
      <c r="Q148" s="70"/>
      <c r="R148" s="70"/>
      <c r="S148" s="70"/>
      <c r="T148" s="68"/>
      <c r="U148" s="68"/>
      <c r="V148" s="68"/>
      <c r="W148" s="68"/>
      <c r="X148" s="68"/>
      <c r="Y148" s="68"/>
      <c r="Z148" s="68"/>
    </row>
    <row r="149" spans="1:26" ht="25.5" customHeight="1" x14ac:dyDescent="0.35">
      <c r="A149" s="68"/>
      <c r="B149" s="68"/>
      <c r="C149" s="68"/>
      <c r="D149" s="70" t="s">
        <v>621</v>
      </c>
      <c r="E149" s="70"/>
      <c r="F149" s="70"/>
      <c r="G149" s="70" t="s">
        <v>622</v>
      </c>
      <c r="H149" s="70"/>
      <c r="I149" s="70"/>
      <c r="J149" s="70"/>
      <c r="K149" s="70"/>
      <c r="L149" s="70"/>
      <c r="M149" s="70"/>
      <c r="N149" s="70" t="s">
        <v>623</v>
      </c>
      <c r="O149" s="70"/>
      <c r="P149" s="70"/>
      <c r="Q149" s="70"/>
      <c r="R149" s="70"/>
      <c r="S149" s="70"/>
      <c r="T149" s="68"/>
      <c r="U149" s="68"/>
      <c r="V149" s="68"/>
      <c r="W149" s="68"/>
      <c r="X149" s="68"/>
      <c r="Y149" s="68"/>
      <c r="Z149" s="68"/>
    </row>
    <row r="150" spans="1:26" x14ac:dyDescent="0.35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73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2" spans="1:26" x14ac:dyDescent="0.35">
      <c r="D152" s="151" t="s">
        <v>624</v>
      </c>
      <c r="E152" s="151" t="s">
        <v>624</v>
      </c>
      <c r="F152" s="151" t="s">
        <v>624</v>
      </c>
      <c r="G152" s="151" t="s">
        <v>624</v>
      </c>
      <c r="H152" s="151" t="s">
        <v>624</v>
      </c>
      <c r="J152" s="112" t="s">
        <v>603</v>
      </c>
      <c r="K152" s="112" t="s">
        <v>625</v>
      </c>
      <c r="L152" s="112" t="s">
        <v>626</v>
      </c>
      <c r="M152" s="112" t="s">
        <v>627</v>
      </c>
    </row>
    <row r="153" spans="1:26" x14ac:dyDescent="0.35">
      <c r="J153" s="113" t="s">
        <v>628</v>
      </c>
      <c r="K153" s="114">
        <f>MIN('Energy Cost Analysis'!I44,'Energy Cost Analysis'!I46,'Energy Cost Analysis'!I48,'Energy Cost Analysis'!I51,'Energy Cost Analysis'!I53,'Energy Cost Analysis'!I55)</f>
        <v>5.3547828711609763E-2</v>
      </c>
      <c r="L153" s="114">
        <f>MIN('Energy Cost Analysis'!K44,'Energy Cost Analysis'!K46,'Energy Cost Analysis'!K48,'Energy Cost Analysis'!K51,'Energy Cost Analysis'!K53,'Energy Cost Analysis'!K55)</f>
        <v>4.3344397452910015E-2</v>
      </c>
      <c r="M153" s="114">
        <f>MIN('Energy Cost Analysis'!M44,'Energy Cost Analysis'!M46,'Energy Cost Analysis'!M48,'Energy Cost Analysis'!M51,'Energy Cost Analysis'!M53,'Energy Cost Analysis'!M55)</f>
        <v>3.5288245201836696E-2</v>
      </c>
    </row>
    <row r="154" spans="1:26" ht="120.5" x14ac:dyDescent="0.35">
      <c r="D154" s="115" t="s">
        <v>629</v>
      </c>
      <c r="E154" s="115" t="s">
        <v>630</v>
      </c>
      <c r="G154" s="115" t="s">
        <v>629</v>
      </c>
      <c r="H154" s="115" t="s">
        <v>630</v>
      </c>
      <c r="J154" s="113" t="s">
        <v>631</v>
      </c>
      <c r="K154" s="114">
        <f>MIN('Energy Cost Analysis'!I43,'Energy Cost Analysis'!I45,'Energy Cost Analysis'!I47,'Energy Cost Analysis'!I52)</f>
        <v>3.1825100318251004E-2</v>
      </c>
      <c r="L154" s="114">
        <f>MIN('Energy Cost Analysis'!K43,'Energy Cost Analysis'!K45,'Energy Cost Analysis'!K47,'Energy Cost Analysis'!K52)</f>
        <v>3.1825100318251004E-2</v>
      </c>
      <c r="M154" s="114">
        <f>MIN('Energy Cost Analysis'!M43,'Energy Cost Analysis'!M45,'Energy Cost Analysis'!M47,'Energy Cost Analysis'!M52)</f>
        <v>3.0441400304414001E-2</v>
      </c>
    </row>
    <row r="155" spans="1:26" x14ac:dyDescent="0.35">
      <c r="D155" s="113" t="s">
        <v>632</v>
      </c>
      <c r="E155" s="116">
        <f>I16/I14</f>
        <v>768181.81818181812</v>
      </c>
      <c r="G155" s="113" t="s">
        <v>632</v>
      </c>
      <c r="H155" s="116">
        <f>I35/I36</f>
        <v>780000</v>
      </c>
      <c r="J155" s="113" t="s">
        <v>633</v>
      </c>
      <c r="K155" s="114">
        <f>'Energy Cost Analysis'!I43</f>
        <v>3.4000000000000002E-2</v>
      </c>
      <c r="L155" s="114">
        <f>'Energy Cost Analysis'!K43</f>
        <v>3.5999999999999997E-2</v>
      </c>
      <c r="M155" s="114">
        <f>'Energy Cost Analysis'!M43</f>
        <v>3.7999999999999999E-2</v>
      </c>
    </row>
    <row r="156" spans="1:26" x14ac:dyDescent="0.35">
      <c r="D156" s="113" t="s">
        <v>634</v>
      </c>
      <c r="E156" s="116">
        <f>I17/I15</f>
        <v>100000</v>
      </c>
      <c r="G156" s="113" t="s">
        <v>635</v>
      </c>
      <c r="H156" s="116">
        <f>I30/I31</f>
        <v>44000</v>
      </c>
      <c r="J156" s="113" t="s">
        <v>636</v>
      </c>
      <c r="K156" s="114">
        <f>'Energy Cost Analysis'!I44</f>
        <v>8.7999999999999995E-2</v>
      </c>
      <c r="L156" s="114">
        <f>'Energy Cost Analysis'!K44</f>
        <v>9.1999999999999998E-2</v>
      </c>
      <c r="M156" s="114">
        <f>'Energy Cost Analysis'!M44</f>
        <v>7.0999999999999994E-2</v>
      </c>
    </row>
    <row r="157" spans="1:26" x14ac:dyDescent="0.35">
      <c r="D157" s="113" t="s">
        <v>637</v>
      </c>
      <c r="E157" s="116">
        <f>I18/I15</f>
        <v>40000</v>
      </c>
      <c r="G157" s="113" t="s">
        <v>638</v>
      </c>
      <c r="H157" s="116">
        <f>I32/I33</f>
        <v>25000</v>
      </c>
      <c r="J157" s="113" t="s">
        <v>639</v>
      </c>
      <c r="K157" s="114">
        <f>'Energy Cost Analysis'!I45</f>
        <v>3.2000000000000001E-2</v>
      </c>
      <c r="L157" s="114">
        <f>'Energy Cost Analysis'!K45</f>
        <v>3.7999999999999999E-2</v>
      </c>
      <c r="M157" s="114">
        <f>'Energy Cost Analysis'!M45</f>
        <v>0.04</v>
      </c>
    </row>
    <row r="158" spans="1:26" x14ac:dyDescent="0.35">
      <c r="D158" s="113" t="s">
        <v>640</v>
      </c>
      <c r="E158" s="116">
        <f>I54+I22*I48/I43</f>
        <v>255354.5335117713</v>
      </c>
      <c r="G158" s="113" t="str">
        <f>I27</f>
        <v>Nat Gas New Build</v>
      </c>
      <c r="H158" s="116">
        <f>I55</f>
        <v>97940.304000000018</v>
      </c>
      <c r="J158" s="113" t="s">
        <v>523</v>
      </c>
      <c r="K158" s="114">
        <f>'Energy Cost Analysis'!I46</f>
        <v>7.6999999999999999E-2</v>
      </c>
      <c r="L158" s="114">
        <f>'Energy Cost Analysis'!K46</f>
        <v>7.0000000000000007E-2</v>
      </c>
      <c r="M158" s="114">
        <f>'Energy Cost Analysis'!M46</f>
        <v>6.5000000000000002E-2</v>
      </c>
    </row>
    <row r="159" spans="1:26" x14ac:dyDescent="0.35">
      <c r="D159" s="113" t="s">
        <v>515</v>
      </c>
      <c r="E159" s="116">
        <f>I20</f>
        <v>30000</v>
      </c>
      <c r="G159" s="113" t="s">
        <v>515</v>
      </c>
      <c r="H159" s="116">
        <f>I34</f>
        <v>90000</v>
      </c>
      <c r="J159" s="113" t="s">
        <v>641</v>
      </c>
      <c r="K159" s="114">
        <f>'Energy Cost Analysis'!I47</f>
        <v>7.2999999999999995E-2</v>
      </c>
      <c r="L159" s="114">
        <f>'Energy Cost Analysis'!K47</f>
        <v>0.08</v>
      </c>
      <c r="M159" s="114">
        <f>'Energy Cost Analysis'!M47</f>
        <v>8.5000000000000006E-2</v>
      </c>
    </row>
    <row r="160" spans="1:26" x14ac:dyDescent="0.35">
      <c r="D160" s="113" t="s">
        <v>642</v>
      </c>
      <c r="E160" s="116">
        <f>I21</f>
        <v>0</v>
      </c>
      <c r="J160" s="113" t="s">
        <v>643</v>
      </c>
      <c r="K160" s="114">
        <f>'Energy Cost Analysis'!I48</f>
        <v>0.122</v>
      </c>
      <c r="L160" s="114">
        <f>'Energy Cost Analysis'!K48</f>
        <v>0.115</v>
      </c>
      <c r="M160" s="114">
        <f>'Energy Cost Analysis'!M48</f>
        <v>0.105</v>
      </c>
    </row>
    <row r="161" spans="4:13" x14ac:dyDescent="0.35">
      <c r="D161" s="113" t="s">
        <v>644</v>
      </c>
      <c r="E161" s="116">
        <f>I56-I22*I48/I43</f>
        <v>422530</v>
      </c>
      <c r="J161" s="113" t="s">
        <v>645</v>
      </c>
      <c r="K161" s="114">
        <f>'Energy Cost Analysis'!I49</f>
        <v>3.5000000000000003E-2</v>
      </c>
      <c r="L161" s="114">
        <f>'Energy Cost Analysis'!K49</f>
        <v>0.03</v>
      </c>
      <c r="M161" s="114">
        <f>'Energy Cost Analysis'!M49</f>
        <v>2.7E-2</v>
      </c>
    </row>
    <row r="162" spans="4:13" x14ac:dyDescent="0.35">
      <c r="J162" s="113" t="s">
        <v>646</v>
      </c>
      <c r="K162" s="114">
        <f>'Energy Cost Analysis'!I50</f>
        <v>2.9810344353494823E-2</v>
      </c>
      <c r="L162" s="114">
        <f>'Energy Cost Analysis'!K50</f>
        <v>2.512145461901439E-2</v>
      </c>
      <c r="M162" s="114">
        <f>'Energy Cost Analysis'!M50</f>
        <v>2.1348398370086782E-2</v>
      </c>
    </row>
    <row r="163" spans="4:13" x14ac:dyDescent="0.35">
      <c r="J163" s="113" t="s">
        <v>647</v>
      </c>
      <c r="K163" s="114">
        <f>'Energy Cost Analysis'!I51</f>
        <v>5.3547828711609763E-2</v>
      </c>
      <c r="L163" s="114">
        <f>'Energy Cost Analysis'!K51</f>
        <v>4.3344397452910015E-2</v>
      </c>
      <c r="M163" s="114">
        <f>'Energy Cost Analysis'!M51</f>
        <v>3.5288245201836696E-2</v>
      </c>
    </row>
    <row r="164" spans="4:13" x14ac:dyDescent="0.35">
      <c r="J164" s="113" t="s">
        <v>648</v>
      </c>
      <c r="K164" s="114">
        <f>'Energy Cost Analysis'!I52</f>
        <v>3.1825100318251004E-2</v>
      </c>
      <c r="L164" s="114">
        <f>'Energy Cost Analysis'!K52</f>
        <v>3.1825100318251004E-2</v>
      </c>
      <c r="M164" s="114">
        <f>'Energy Cost Analysis'!M52</f>
        <v>3.0441400304414001E-2</v>
      </c>
    </row>
    <row r="165" spans="4:13" x14ac:dyDescent="0.35">
      <c r="J165" s="113" t="s">
        <v>649</v>
      </c>
      <c r="K165" s="114">
        <f>'Energy Cost Analysis'!I53</f>
        <v>9.8832401116467197E-2</v>
      </c>
      <c r="L165" s="114">
        <f>'Energy Cost Analysis'!K53</f>
        <v>9.8832401116467197E-2</v>
      </c>
      <c r="M165" s="114">
        <f>'Energy Cost Analysis'!M53</f>
        <v>9.4764007934360142E-2</v>
      </c>
    </row>
    <row r="166" spans="4:13" ht="120.5" x14ac:dyDescent="0.35">
      <c r="D166" s="115" t="s">
        <v>629</v>
      </c>
      <c r="E166" s="115" t="s">
        <v>630</v>
      </c>
      <c r="G166" s="115" t="s">
        <v>629</v>
      </c>
      <c r="H166" s="115" t="s">
        <v>630</v>
      </c>
      <c r="J166" s="113" t="s">
        <v>650</v>
      </c>
      <c r="K166" s="114">
        <f>'Energy Cost Analysis'!I54</f>
        <v>4.2951312106313554E-2</v>
      </c>
      <c r="L166" s="114">
        <f>'Energy Cost Analysis'!K54</f>
        <v>2.6646774561426556E-2</v>
      </c>
      <c r="M166" s="114">
        <f>'Energy Cost Analysis'!M54</f>
        <v>2.0273477958436047E-2</v>
      </c>
    </row>
    <row r="167" spans="4:13" x14ac:dyDescent="0.35">
      <c r="D167" s="113" t="s">
        <v>632</v>
      </c>
      <c r="E167" s="116">
        <f>K16/K14</f>
        <v>1575757.5757575757</v>
      </c>
      <c r="G167" s="113" t="s">
        <v>632</v>
      </c>
      <c r="H167" s="116">
        <f>K35/K36</f>
        <v>1600000</v>
      </c>
      <c r="J167" s="113" t="s">
        <v>651</v>
      </c>
      <c r="K167" s="114">
        <f>'Energy Cost Analysis'!I55</f>
        <v>9.3923250267415298E-2</v>
      </c>
      <c r="L167" s="114">
        <f>'Energy Cost Analysis'!K55</f>
        <v>6.6339927436820226E-2</v>
      </c>
      <c r="M167" s="114">
        <f>'Energy Cost Analysis'!M55</f>
        <v>5.0943172900950524E-2</v>
      </c>
    </row>
    <row r="168" spans="4:13" x14ac:dyDescent="0.35">
      <c r="D168" s="113" t="s">
        <v>634</v>
      </c>
      <c r="E168" s="116">
        <f>K17/K15</f>
        <v>60000</v>
      </c>
      <c r="G168" s="113" t="s">
        <v>635</v>
      </c>
      <c r="H168" s="116">
        <f>K30/K31</f>
        <v>41666.666666666664</v>
      </c>
      <c r="J168" s="113" t="s">
        <v>652</v>
      </c>
      <c r="K168" s="114">
        <f>'Energy Cost Analysis'!I57</f>
        <v>5.5E-2</v>
      </c>
      <c r="L168" s="114">
        <f>'Energy Cost Analysis'!K57</f>
        <v>3.9E-2</v>
      </c>
      <c r="M168" s="114">
        <f>'Energy Cost Analysis'!M57</f>
        <v>3.2000000000000001E-2</v>
      </c>
    </row>
    <row r="169" spans="4:13" x14ac:dyDescent="0.35">
      <c r="D169" s="113" t="s">
        <v>637</v>
      </c>
      <c r="E169" s="116">
        <f>K18/K15</f>
        <v>35000</v>
      </c>
      <c r="G169" s="113" t="s">
        <v>638</v>
      </c>
      <c r="H169" s="116">
        <f>K32/K33</f>
        <v>18000</v>
      </c>
    </row>
    <row r="170" spans="4:13" x14ac:dyDescent="0.35">
      <c r="D170" s="113" t="s">
        <v>640</v>
      </c>
      <c r="E170" s="116">
        <f>K54+K22*K48/K43</f>
        <v>15638.725994126573</v>
      </c>
      <c r="G170" s="113" t="str">
        <f>K27</f>
        <v>Nat Gas New Build</v>
      </c>
      <c r="H170" s="116">
        <f>K55</f>
        <v>87417.792000000016</v>
      </c>
    </row>
    <row r="171" spans="4:13" x14ac:dyDescent="0.35">
      <c r="D171" s="113" t="s">
        <v>515</v>
      </c>
      <c r="E171" s="116">
        <f>K20</f>
        <v>25000</v>
      </c>
      <c r="G171" s="113" t="s">
        <v>515</v>
      </c>
      <c r="H171" s="116">
        <f>K34</f>
        <v>80000</v>
      </c>
    </row>
    <row r="172" spans="4:13" x14ac:dyDescent="0.35">
      <c r="D172" s="113" t="s">
        <v>642</v>
      </c>
      <c r="E172" s="116">
        <f>K21</f>
        <v>0</v>
      </c>
    </row>
    <row r="173" spans="4:13" x14ac:dyDescent="0.35">
      <c r="D173" s="113" t="s">
        <v>644</v>
      </c>
      <c r="E173" s="116">
        <f>K56-K22*K48/K43</f>
        <v>162000</v>
      </c>
    </row>
    <row r="178" spans="4:8" ht="120.5" x14ac:dyDescent="0.35">
      <c r="D178" s="115" t="s">
        <v>629</v>
      </c>
      <c r="E178" s="115" t="s">
        <v>630</v>
      </c>
      <c r="G178" s="115" t="s">
        <v>629</v>
      </c>
      <c r="H178" s="115" t="s">
        <v>630</v>
      </c>
    </row>
    <row r="179" spans="4:8" x14ac:dyDescent="0.35">
      <c r="D179" s="113" t="s">
        <v>632</v>
      </c>
      <c r="E179" s="116">
        <f>M16/M14</f>
        <v>3939393.939393939</v>
      </c>
      <c r="G179" s="113" t="s">
        <v>632</v>
      </c>
      <c r="H179" s="116">
        <f>M35/M36</f>
        <v>4000000</v>
      </c>
    </row>
    <row r="180" spans="4:8" x14ac:dyDescent="0.35">
      <c r="D180" s="113" t="s">
        <v>634</v>
      </c>
      <c r="E180" s="116">
        <f>M17/M15</f>
        <v>40000</v>
      </c>
      <c r="G180" s="113" t="s">
        <v>635</v>
      </c>
      <c r="H180" s="116">
        <f>M30/M31</f>
        <v>40000</v>
      </c>
    </row>
    <row r="181" spans="4:8" x14ac:dyDescent="0.35">
      <c r="D181" s="113" t="s">
        <v>637</v>
      </c>
      <c r="E181" s="116">
        <f>M18/M15</f>
        <v>30000</v>
      </c>
      <c r="G181" s="113" t="s">
        <v>638</v>
      </c>
      <c r="H181" s="116">
        <f>M32/M33</f>
        <v>15000</v>
      </c>
    </row>
    <row r="182" spans="4:8" x14ac:dyDescent="0.35">
      <c r="D182" s="113" t="s">
        <v>640</v>
      </c>
      <c r="E182" s="116">
        <f>M54+M22*M48/M43</f>
        <v>5900.741370687826</v>
      </c>
      <c r="G182" s="113" t="str">
        <f>M27</f>
        <v>Nat Gas New Build</v>
      </c>
      <c r="H182" s="116">
        <f>M55</f>
        <v>79670.448000000019</v>
      </c>
    </row>
    <row r="183" spans="4:8" x14ac:dyDescent="0.35">
      <c r="D183" s="113" t="s">
        <v>515</v>
      </c>
      <c r="E183" s="116">
        <f>M20</f>
        <v>20000</v>
      </c>
      <c r="G183" s="113" t="s">
        <v>515</v>
      </c>
      <c r="H183" s="116">
        <f>M34</f>
        <v>70000</v>
      </c>
    </row>
    <row r="184" spans="4:8" x14ac:dyDescent="0.35">
      <c r="D184" s="113" t="s">
        <v>642</v>
      </c>
      <c r="E184" s="116">
        <f>M21</f>
        <v>0</v>
      </c>
    </row>
    <row r="185" spans="4:8" x14ac:dyDescent="0.35">
      <c r="D185" s="113" t="s">
        <v>644</v>
      </c>
      <c r="E185" s="116">
        <f>M56-M22*M48/M43</f>
        <v>46000</v>
      </c>
    </row>
  </sheetData>
  <mergeCells count="45">
    <mergeCell ref="D152:H152"/>
    <mergeCell ref="I84:J84"/>
    <mergeCell ref="Q84:R84"/>
    <mergeCell ref="I106:J106"/>
    <mergeCell ref="Q106:R106"/>
    <mergeCell ref="I128:J128"/>
    <mergeCell ref="Q128:R128"/>
    <mergeCell ref="I105:J105"/>
    <mergeCell ref="Q100:S100"/>
    <mergeCell ref="Q101:R101"/>
    <mergeCell ref="Q102:R102"/>
    <mergeCell ref="Q103:R103"/>
    <mergeCell ref="Q104:R104"/>
    <mergeCell ref="Q105:R105"/>
    <mergeCell ref="I100:K100"/>
    <mergeCell ref="I101:J101"/>
    <mergeCell ref="D4:S4"/>
    <mergeCell ref="D5:S6"/>
    <mergeCell ref="I78:K78"/>
    <mergeCell ref="I79:J79"/>
    <mergeCell ref="I80:J80"/>
    <mergeCell ref="I81:J81"/>
    <mergeCell ref="I82:J82"/>
    <mergeCell ref="I83:J83"/>
    <mergeCell ref="Q78:S78"/>
    <mergeCell ref="Q79:R79"/>
    <mergeCell ref="Q80:R80"/>
    <mergeCell ref="Q81:R81"/>
    <mergeCell ref="Q82:R82"/>
    <mergeCell ref="Q83:R83"/>
    <mergeCell ref="I102:J102"/>
    <mergeCell ref="I103:J103"/>
    <mergeCell ref="I104:J104"/>
    <mergeCell ref="I127:J127"/>
    <mergeCell ref="Q122:S122"/>
    <mergeCell ref="Q123:R123"/>
    <mergeCell ref="Q124:R124"/>
    <mergeCell ref="Q125:R125"/>
    <mergeCell ref="Q126:R126"/>
    <mergeCell ref="Q127:R127"/>
    <mergeCell ref="I122:K122"/>
    <mergeCell ref="I123:J123"/>
    <mergeCell ref="I124:J124"/>
    <mergeCell ref="I125:J125"/>
    <mergeCell ref="I126:J126"/>
  </mergeCells>
  <dataValidations count="1">
    <dataValidation type="list" sqref="I27 K27 M27" xr:uid="{00000000-0002-0000-0400-000000000000}">
      <formula1>$J$153:$J$168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30"/>
  <sheetViews>
    <sheetView showGridLines="0" tabSelected="1" topLeftCell="A15" workbookViewId="0">
      <selection activeCell="X22" sqref="X22"/>
    </sheetView>
  </sheetViews>
  <sheetFormatPr defaultRowHeight="14.5" x14ac:dyDescent="0.35"/>
  <cols>
    <col min="1" max="3" width="1.7265625" customWidth="1"/>
    <col min="4" max="4" width="33" customWidth="1"/>
    <col min="5" max="6" width="0.6328125" customWidth="1"/>
    <col min="7" max="7" width="15.1796875" customWidth="1"/>
    <col min="8" max="8" width="0.6328125" customWidth="1"/>
    <col min="9" max="9" width="14.90625" customWidth="1"/>
    <col min="10" max="10" width="0.6328125" customWidth="1"/>
    <col min="11" max="11" width="14.90625" customWidth="1"/>
    <col min="12" max="12" width="0.6328125" customWidth="1"/>
    <col min="13" max="13" width="14.90625" customWidth="1"/>
    <col min="14" max="14" width="37" customWidth="1"/>
    <col min="15" max="15" width="1.7265625" customWidth="1"/>
    <col min="16" max="19" width="16.1796875" customWidth="1"/>
  </cols>
  <sheetData>
    <row r="1" spans="1:19" x14ac:dyDescent="0.35">
      <c r="A1" s="117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</row>
    <row r="2" spans="1:19" x14ac:dyDescent="0.35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</row>
    <row r="3" spans="1:19" x14ac:dyDescent="0.35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</row>
    <row r="4" spans="1:19" ht="18" customHeight="1" x14ac:dyDescent="0.35">
      <c r="A4" s="117"/>
      <c r="B4" s="117"/>
      <c r="C4" s="117"/>
      <c r="D4" s="152" t="s">
        <v>653</v>
      </c>
      <c r="E4" s="152" t="s">
        <v>653</v>
      </c>
      <c r="F4" s="152" t="s">
        <v>653</v>
      </c>
      <c r="G4" s="152" t="s">
        <v>653</v>
      </c>
      <c r="H4" s="152" t="s">
        <v>653</v>
      </c>
      <c r="I4" s="152" t="s">
        <v>653</v>
      </c>
      <c r="J4" s="152" t="s">
        <v>653</v>
      </c>
      <c r="K4" s="152" t="s">
        <v>653</v>
      </c>
      <c r="L4" s="152" t="s">
        <v>653</v>
      </c>
      <c r="M4" s="152" t="s">
        <v>653</v>
      </c>
      <c r="N4" s="152" t="s">
        <v>653</v>
      </c>
      <c r="O4" s="117"/>
      <c r="P4" s="117"/>
      <c r="Q4" s="117"/>
      <c r="R4" s="117"/>
      <c r="S4" s="117"/>
    </row>
    <row r="5" spans="1:19" x14ac:dyDescent="0.35">
      <c r="A5" s="117"/>
      <c r="B5" s="117"/>
      <c r="C5" s="117"/>
      <c r="D5" s="153" t="s">
        <v>654</v>
      </c>
      <c r="E5" s="153" t="s">
        <v>654</v>
      </c>
      <c r="F5" s="153" t="s">
        <v>654</v>
      </c>
      <c r="G5" s="153" t="s">
        <v>654</v>
      </c>
      <c r="H5" s="153" t="s">
        <v>654</v>
      </c>
      <c r="I5" s="153" t="s">
        <v>654</v>
      </c>
      <c r="J5" s="153" t="s">
        <v>654</v>
      </c>
      <c r="K5" s="153" t="s">
        <v>654</v>
      </c>
      <c r="L5" s="153" t="s">
        <v>654</v>
      </c>
      <c r="M5" s="153" t="s">
        <v>654</v>
      </c>
      <c r="N5" s="153" t="s">
        <v>654</v>
      </c>
      <c r="O5" s="117"/>
      <c r="P5" s="117"/>
      <c r="Q5" s="117"/>
      <c r="R5" s="117"/>
      <c r="S5" s="117"/>
    </row>
    <row r="6" spans="1:19" x14ac:dyDescent="0.35">
      <c r="A6" s="117"/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</row>
    <row r="7" spans="1:19" x14ac:dyDescent="0.35">
      <c r="A7" s="117"/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</row>
    <row r="8" spans="1:19" x14ac:dyDescent="0.35">
      <c r="A8" s="117"/>
      <c r="B8" s="117"/>
      <c r="C8" s="117"/>
      <c r="D8" s="118" t="s">
        <v>655</v>
      </c>
      <c r="E8" s="118"/>
      <c r="F8" s="118"/>
      <c r="G8" s="118" t="s">
        <v>2</v>
      </c>
      <c r="H8" s="118"/>
      <c r="I8" s="118" t="s">
        <v>3</v>
      </c>
      <c r="J8" s="118"/>
      <c r="K8" s="118" t="s">
        <v>4</v>
      </c>
      <c r="L8" s="118"/>
      <c r="M8" s="118" t="s">
        <v>5</v>
      </c>
      <c r="N8" s="118" t="s">
        <v>100</v>
      </c>
      <c r="O8" s="117"/>
      <c r="P8" s="117"/>
      <c r="Q8" s="117"/>
      <c r="R8" s="117"/>
      <c r="S8" s="117"/>
    </row>
    <row r="9" spans="1:19" x14ac:dyDescent="0.35">
      <c r="A9" s="117"/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</row>
    <row r="10" spans="1:19" ht="26.5" x14ac:dyDescent="0.35">
      <c r="A10" s="117"/>
      <c r="B10" s="117"/>
      <c r="C10" s="117"/>
      <c r="D10" s="119" t="s">
        <v>578</v>
      </c>
      <c r="E10" s="119"/>
      <c r="F10" s="119"/>
      <c r="G10" s="119" t="s">
        <v>581</v>
      </c>
      <c r="H10" s="119"/>
      <c r="I10" s="121">
        <f>'TCO Analysis'!I66</f>
        <v>16.160663516935891</v>
      </c>
      <c r="J10" s="121"/>
      <c r="K10" s="121">
        <f>'TCO Analysis'!K66</f>
        <v>18.733963017517024</v>
      </c>
      <c r="L10" s="121"/>
      <c r="M10" s="121">
        <f>'TCO Analysis'!M66</f>
        <v>40.81294680764627</v>
      </c>
      <c r="N10" s="119" t="s">
        <v>656</v>
      </c>
      <c r="O10" s="117"/>
      <c r="P10" s="117"/>
      <c r="Q10" s="117"/>
      <c r="R10" s="117"/>
      <c r="S10" s="117"/>
    </row>
    <row r="11" spans="1:19" ht="26.5" x14ac:dyDescent="0.35">
      <c r="A11" s="117"/>
      <c r="B11" s="117"/>
      <c r="C11" s="117"/>
      <c r="D11" s="120" t="s">
        <v>585</v>
      </c>
      <c r="E11" s="120"/>
      <c r="F11" s="120"/>
      <c r="G11" s="120" t="s">
        <v>581</v>
      </c>
      <c r="H11" s="120"/>
      <c r="I11" s="122">
        <f>'TCO Analysis'!I69</f>
        <v>7.8556083636363638</v>
      </c>
      <c r="J11" s="122"/>
      <c r="K11" s="122">
        <f>'TCO Analysis'!K69</f>
        <v>13.84154892929293</v>
      </c>
      <c r="L11" s="122"/>
      <c r="M11" s="122">
        <f>'TCO Analysis'!M69</f>
        <v>31.853563999999999</v>
      </c>
      <c r="N11" s="120" t="s">
        <v>657</v>
      </c>
      <c r="O11" s="117"/>
      <c r="P11" s="117"/>
      <c r="Q11" s="117"/>
      <c r="R11" s="117"/>
      <c r="S11" s="117"/>
    </row>
    <row r="12" spans="1:19" ht="26.5" x14ac:dyDescent="0.35">
      <c r="A12" s="117"/>
      <c r="B12" s="117"/>
      <c r="C12" s="117"/>
      <c r="D12" s="119" t="s">
        <v>658</v>
      </c>
      <c r="E12" s="119"/>
      <c r="F12" s="119"/>
      <c r="G12" s="119" t="s">
        <v>581</v>
      </c>
      <c r="H12" s="119"/>
      <c r="I12" s="121">
        <f>('TCO Analysis'!I35/'TCO Analysis'!I36)/('TCO Analysis'!I28*1000)</f>
        <v>5.9090909090909092</v>
      </c>
      <c r="J12" s="121"/>
      <c r="K12" s="121">
        <f>('TCO Analysis'!K35/'TCO Analysis'!K36)/('TCO Analysis'!K28*1000)</f>
        <v>12.121212121212121</v>
      </c>
      <c r="L12" s="121"/>
      <c r="M12" s="121">
        <f>('TCO Analysis'!M35/'TCO Analysis'!M36)/('TCO Analysis'!M28*1000)</f>
        <v>30.303030303030305</v>
      </c>
      <c r="N12" s="119" t="s">
        <v>659</v>
      </c>
      <c r="O12" s="117"/>
      <c r="P12" s="117"/>
      <c r="Q12" s="117"/>
      <c r="R12" s="117"/>
      <c r="S12" s="117"/>
    </row>
    <row r="13" spans="1:19" x14ac:dyDescent="0.35">
      <c r="A13" s="117"/>
      <c r="B13" s="117"/>
      <c r="C13" s="117"/>
      <c r="D13" s="120" t="s">
        <v>521</v>
      </c>
      <c r="E13" s="120"/>
      <c r="F13" s="120"/>
      <c r="G13" s="120" t="s">
        <v>522</v>
      </c>
      <c r="H13" s="120"/>
      <c r="I13" s="120" t="str">
        <f>'TCO Analysis'!I27</f>
        <v>Nat Gas New Build</v>
      </c>
      <c r="J13" s="120"/>
      <c r="K13" s="120" t="str">
        <f>'TCO Analysis'!K27</f>
        <v>Nat Gas New Build</v>
      </c>
      <c r="L13" s="120"/>
      <c r="M13" s="120" t="str">
        <f>'TCO Analysis'!M27</f>
        <v>Nat Gas New Build</v>
      </c>
      <c r="N13" s="120" t="s">
        <v>660</v>
      </c>
      <c r="O13" s="117"/>
      <c r="P13" s="117"/>
      <c r="Q13" s="117"/>
      <c r="R13" s="117"/>
      <c r="S13" s="117"/>
    </row>
    <row r="14" spans="1:19" ht="26.5" x14ac:dyDescent="0.35">
      <c r="A14" s="117"/>
      <c r="B14" s="117"/>
      <c r="C14" s="117"/>
      <c r="D14" s="119" t="s">
        <v>661</v>
      </c>
      <c r="E14" s="119"/>
      <c r="F14" s="119"/>
      <c r="G14" s="119" t="s">
        <v>662</v>
      </c>
      <c r="H14" s="119"/>
      <c r="I14" s="119" t="s">
        <v>663</v>
      </c>
      <c r="J14" s="119"/>
      <c r="K14" s="119" t="s">
        <v>663</v>
      </c>
      <c r="L14" s="119"/>
      <c r="M14" s="119" t="s">
        <v>663</v>
      </c>
      <c r="N14" s="119" t="s">
        <v>664</v>
      </c>
      <c r="O14" s="117"/>
      <c r="P14" s="117"/>
      <c r="Q14" s="117"/>
      <c r="R14" s="117"/>
      <c r="S14" s="117"/>
    </row>
    <row r="15" spans="1:19" x14ac:dyDescent="0.35">
      <c r="A15" s="117"/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</row>
    <row r="16" spans="1:19" x14ac:dyDescent="0.35">
      <c r="A16" s="117"/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</row>
    <row r="17" spans="1:19" x14ac:dyDescent="0.35">
      <c r="A17" s="117"/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</row>
    <row r="18" spans="1:19" ht="18" customHeight="1" x14ac:dyDescent="0.35">
      <c r="A18" s="117"/>
      <c r="B18" s="117"/>
      <c r="C18" s="117"/>
      <c r="D18" s="154" t="s">
        <v>665</v>
      </c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17"/>
      <c r="P18" s="117"/>
      <c r="Q18" s="117"/>
      <c r="R18" s="117"/>
      <c r="S18" s="117"/>
    </row>
    <row r="19" spans="1:19" x14ac:dyDescent="0.35">
      <c r="A19" s="117"/>
      <c r="B19" s="117"/>
      <c r="C19" s="117"/>
      <c r="D19" s="118" t="s">
        <v>666</v>
      </c>
      <c r="E19" s="118"/>
      <c r="F19" s="118"/>
      <c r="G19" s="118" t="s">
        <v>2</v>
      </c>
      <c r="H19" s="118"/>
      <c r="I19" s="118" t="s">
        <v>3</v>
      </c>
      <c r="J19" s="118"/>
      <c r="K19" s="118" t="s">
        <v>4</v>
      </c>
      <c r="L19" s="118"/>
      <c r="M19" s="118" t="s">
        <v>5</v>
      </c>
      <c r="N19" s="118" t="s">
        <v>100</v>
      </c>
      <c r="O19" s="117"/>
      <c r="P19" s="117"/>
      <c r="Q19" s="117"/>
      <c r="R19" s="117"/>
      <c r="S19" s="117"/>
    </row>
    <row r="20" spans="1:19" x14ac:dyDescent="0.35">
      <c r="A20" s="117"/>
      <c r="B20" s="117"/>
      <c r="C20" s="117"/>
      <c r="D20" s="119" t="s">
        <v>667</v>
      </c>
      <c r="E20" s="119"/>
      <c r="F20" s="119"/>
      <c r="G20" s="119" t="s">
        <v>37</v>
      </c>
      <c r="H20" s="119"/>
      <c r="I20" s="125">
        <v>-0.7</v>
      </c>
      <c r="J20" s="125"/>
      <c r="K20" s="125">
        <v>0.1</v>
      </c>
      <c r="L20" s="125"/>
      <c r="M20" s="125">
        <v>0.3</v>
      </c>
      <c r="N20" s="119" t="s">
        <v>668</v>
      </c>
      <c r="O20" s="117"/>
      <c r="P20" s="117"/>
      <c r="Q20" s="117"/>
      <c r="R20" s="117"/>
      <c r="S20" s="117"/>
    </row>
    <row r="21" spans="1:19" ht="52.5" x14ac:dyDescent="0.35">
      <c r="A21" s="117"/>
      <c r="B21" s="117"/>
      <c r="C21" s="117"/>
      <c r="D21" s="120" t="s">
        <v>669</v>
      </c>
      <c r="E21" s="120"/>
      <c r="F21" s="120"/>
      <c r="G21" s="120" t="s">
        <v>37</v>
      </c>
      <c r="H21" s="120"/>
      <c r="I21" s="125">
        <v>0.3</v>
      </c>
      <c r="J21" s="125"/>
      <c r="K21" s="125">
        <v>0.3</v>
      </c>
      <c r="L21" s="125"/>
      <c r="M21" s="125">
        <v>0.3</v>
      </c>
      <c r="N21" s="120" t="s">
        <v>765</v>
      </c>
      <c r="O21" s="117"/>
      <c r="P21" s="117"/>
      <c r="Q21" s="117"/>
      <c r="R21" s="117"/>
      <c r="S21" s="117"/>
    </row>
    <row r="22" spans="1:19" ht="26.5" x14ac:dyDescent="0.35">
      <c r="A22" s="117"/>
      <c r="B22" s="117"/>
      <c r="C22" s="117"/>
      <c r="D22" s="119" t="s">
        <v>670</v>
      </c>
      <c r="E22" s="119"/>
      <c r="F22" s="119"/>
      <c r="G22" s="119" t="s">
        <v>13</v>
      </c>
      <c r="H22" s="119"/>
      <c r="I22" s="126">
        <v>1</v>
      </c>
      <c r="J22" s="126"/>
      <c r="K22" s="126">
        <v>1</v>
      </c>
      <c r="L22" s="126"/>
      <c r="M22" s="126">
        <v>1</v>
      </c>
      <c r="N22" s="119" t="s">
        <v>766</v>
      </c>
      <c r="O22" s="117"/>
      <c r="P22" s="117"/>
      <c r="Q22" s="117"/>
      <c r="R22" s="117"/>
      <c r="S22" s="117"/>
    </row>
    <row r="23" spans="1:19" x14ac:dyDescent="0.35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</row>
    <row r="24" spans="1:19" ht="26.5" x14ac:dyDescent="0.35">
      <c r="A24" s="117"/>
      <c r="B24" s="117"/>
      <c r="C24" s="117"/>
      <c r="D24" s="119" t="s">
        <v>606</v>
      </c>
      <c r="E24" s="119"/>
      <c r="F24" s="119"/>
      <c r="G24" s="119" t="s">
        <v>591</v>
      </c>
      <c r="H24" s="119"/>
      <c r="I24" s="119" t="str">
        <f>IF(OR(ISBLANK(I20),ISBLANK(I21),ISBLANK(I22),I20&gt;=1,I21&gt;=1),"Inputs pending","Ready")</f>
        <v>Ready</v>
      </c>
      <c r="J24" s="119"/>
      <c r="K24" s="119" t="str">
        <f>IF(OR(ISBLANK(K20),ISBLANK(K21),ISBLANK(K22),K20&gt;=1,K21&gt;=1),"Inputs pending","Ready")</f>
        <v>Ready</v>
      </c>
      <c r="L24" s="119"/>
      <c r="M24" s="119" t="str">
        <f>IF(OR(ISBLANK(M20),ISBLANK(M21),ISBLANK(M22),M20&gt;=1,M21&gt;=1),"Inputs pending","Ready")</f>
        <v>Ready</v>
      </c>
      <c r="N24" s="119" t="s">
        <v>671</v>
      </c>
      <c r="O24" s="117"/>
      <c r="P24" s="117"/>
      <c r="Q24" s="117"/>
      <c r="R24" s="117"/>
      <c r="S24" s="117"/>
    </row>
    <row r="25" spans="1:19" ht="26.5" x14ac:dyDescent="0.35">
      <c r="A25" s="117"/>
      <c r="B25" s="117"/>
      <c r="C25" s="117"/>
      <c r="D25" s="120" t="s">
        <v>672</v>
      </c>
      <c r="E25" s="120"/>
      <c r="F25" s="120"/>
      <c r="G25" s="120" t="s">
        <v>581</v>
      </c>
      <c r="H25" s="120"/>
      <c r="I25" s="122">
        <f>IF(I24&lt;&gt;"Ready","Inputs pending",I11/(1-I21))</f>
        <v>11.222297662337663</v>
      </c>
      <c r="J25" s="122"/>
      <c r="K25" s="122">
        <f>IF(K24&lt;&gt;"Ready","Inputs pending",K11/(1-K21))</f>
        <v>19.773641327561329</v>
      </c>
      <c r="L25" s="122"/>
      <c r="M25" s="122">
        <f>IF(M24&lt;&gt;"Ready","Inputs pending",M11/(1-M21))</f>
        <v>45.505091428571433</v>
      </c>
      <c r="N25" s="120" t="s">
        <v>673</v>
      </c>
      <c r="O25" s="117"/>
      <c r="P25" s="117"/>
      <c r="Q25" s="117"/>
      <c r="R25" s="117"/>
      <c r="S25" s="117"/>
    </row>
    <row r="26" spans="1:19" ht="26.5" x14ac:dyDescent="0.35">
      <c r="A26" s="117"/>
      <c r="B26" s="117"/>
      <c r="C26" s="117"/>
      <c r="D26" s="119" t="s">
        <v>674</v>
      </c>
      <c r="E26" s="119"/>
      <c r="F26" s="119"/>
      <c r="G26" s="119" t="s">
        <v>581</v>
      </c>
      <c r="H26" s="119"/>
      <c r="I26" s="121">
        <f>IF(I24&lt;&gt;"Ready","Inputs pending",I25/(1-I20))</f>
        <v>6.6013515660809787</v>
      </c>
      <c r="J26" s="121"/>
      <c r="K26" s="121">
        <f>IF(K24&lt;&gt;"Ready","Inputs pending",K25/(1-K20))</f>
        <v>21.970712586179253</v>
      </c>
      <c r="L26" s="121"/>
      <c r="M26" s="121">
        <f>IF(M24&lt;&gt;"Ready","Inputs pending",M25/(1-M20))</f>
        <v>65.007273469387769</v>
      </c>
      <c r="N26" s="119" t="s">
        <v>675</v>
      </c>
      <c r="O26" s="117"/>
      <c r="P26" s="117"/>
      <c r="Q26" s="117"/>
      <c r="R26" s="117"/>
      <c r="S26" s="117"/>
    </row>
    <row r="27" spans="1:19" ht="26.5" x14ac:dyDescent="0.35">
      <c r="A27" s="117"/>
      <c r="B27" s="117"/>
      <c r="C27" s="117"/>
      <c r="D27" s="120" t="s">
        <v>676</v>
      </c>
      <c r="E27" s="120"/>
      <c r="F27" s="120"/>
      <c r="G27" s="120" t="s">
        <v>581</v>
      </c>
      <c r="H27" s="120"/>
      <c r="I27" s="122">
        <f>IF(I24&lt;&gt;"Ready","Inputs pending",I25)</f>
        <v>11.222297662337663</v>
      </c>
      <c r="J27" s="122"/>
      <c r="K27" s="122">
        <f>IF(K24&lt;&gt;"Ready","Inputs pending",K25)</f>
        <v>19.773641327561329</v>
      </c>
      <c r="L27" s="122"/>
      <c r="M27" s="122">
        <f>IF(M24&lt;&gt;"Ready","Inputs pending",M25)</f>
        <v>45.505091428571433</v>
      </c>
      <c r="N27" s="120" t="s">
        <v>677</v>
      </c>
      <c r="O27" s="117"/>
      <c r="P27" s="117"/>
      <c r="Q27" s="117"/>
      <c r="R27" s="117"/>
      <c r="S27" s="117"/>
    </row>
    <row r="28" spans="1:19" x14ac:dyDescent="0.35">
      <c r="A28" s="117"/>
      <c r="B28" s="117"/>
      <c r="C28" s="117"/>
      <c r="D28" s="123" t="s">
        <v>678</v>
      </c>
      <c r="E28" s="123"/>
      <c r="F28" s="123"/>
      <c r="G28" s="123" t="s">
        <v>581</v>
      </c>
      <c r="H28" s="123"/>
      <c r="I28" s="127">
        <f>IF(I24&lt;&gt;"Ready","Inputs pending",I26-I27)</f>
        <v>-4.6209460962566844</v>
      </c>
      <c r="J28" s="127"/>
      <c r="K28" s="127">
        <f>IF(K24&lt;&gt;"Ready","Inputs pending",K26-K27)</f>
        <v>2.1970712586179246</v>
      </c>
      <c r="L28" s="127"/>
      <c r="M28" s="127">
        <f>IF(M24&lt;&gt;"Ready","Inputs pending",M26-M27)</f>
        <v>19.502182040816336</v>
      </c>
      <c r="N28" s="123" t="s">
        <v>679</v>
      </c>
      <c r="O28" s="117"/>
      <c r="P28" s="117"/>
      <c r="Q28" s="117"/>
      <c r="R28" s="117"/>
      <c r="S28" s="117"/>
    </row>
    <row r="29" spans="1:19" ht="39.5" x14ac:dyDescent="0.35">
      <c r="A29" s="117"/>
      <c r="B29" s="117"/>
      <c r="C29" s="117"/>
      <c r="D29" s="120" t="s">
        <v>680</v>
      </c>
      <c r="E29" s="120"/>
      <c r="F29" s="120"/>
      <c r="G29" s="120" t="s">
        <v>581</v>
      </c>
      <c r="H29" s="120"/>
      <c r="I29" s="122">
        <f>IF(I24&lt;&gt;"Ready","Inputs pending",I26*I22)</f>
        <v>6.6013515660809787</v>
      </c>
      <c r="J29" s="122"/>
      <c r="K29" s="122">
        <f>IF(K24&lt;&gt;"Ready","Inputs pending",K26*K22)</f>
        <v>21.970712586179253</v>
      </c>
      <c r="L29" s="122"/>
      <c r="M29" s="122">
        <f>IF(M24&lt;&gt;"Ready","Inputs pending",M26*M22)</f>
        <v>65.007273469387769</v>
      </c>
      <c r="N29" s="120" t="s">
        <v>767</v>
      </c>
      <c r="O29" s="117"/>
      <c r="P29" s="117"/>
      <c r="Q29" s="117"/>
      <c r="R29" s="117"/>
      <c r="S29" s="117"/>
    </row>
    <row r="30" spans="1:19" x14ac:dyDescent="0.35">
      <c r="A30" s="117"/>
      <c r="B30" s="117"/>
      <c r="C30" s="117"/>
      <c r="D30" s="119" t="s">
        <v>681</v>
      </c>
      <c r="E30" s="119"/>
      <c r="F30" s="119"/>
      <c r="G30" s="119" t="s">
        <v>581</v>
      </c>
      <c r="H30" s="119"/>
      <c r="I30" s="121">
        <f>IF(I24&lt;&gt;"Ready","Inputs pending",I10)</f>
        <v>16.160663516935891</v>
      </c>
      <c r="J30" s="121"/>
      <c r="K30" s="121">
        <f>IF(K24&lt;&gt;"Ready","Inputs pending",K10)</f>
        <v>18.733963017517024</v>
      </c>
      <c r="L30" s="121"/>
      <c r="M30" s="121">
        <f>IF(M24&lt;&gt;"Ready","Inputs pending",M10)</f>
        <v>40.81294680764627</v>
      </c>
      <c r="N30" s="119" t="s">
        <v>682</v>
      </c>
      <c r="O30" s="117"/>
      <c r="P30" s="117"/>
      <c r="Q30" s="117"/>
      <c r="R30" s="117"/>
      <c r="S30" s="117"/>
    </row>
    <row r="31" spans="1:19" x14ac:dyDescent="0.35">
      <c r="A31" s="117"/>
      <c r="B31" s="117"/>
      <c r="C31" s="117"/>
      <c r="D31" s="124" t="s">
        <v>683</v>
      </c>
      <c r="E31" s="124"/>
      <c r="F31" s="124"/>
      <c r="G31" s="124" t="s">
        <v>581</v>
      </c>
      <c r="H31" s="124"/>
      <c r="I31" s="127">
        <f>IF(I24&lt;&gt;"Ready","Inputs pending",I29-I30)</f>
        <v>-9.5593119508549123</v>
      </c>
      <c r="J31" s="127"/>
      <c r="K31" s="127">
        <f>IF(K24&lt;&gt;"Ready","Inputs pending",K29-K30)</f>
        <v>3.2367495686622298</v>
      </c>
      <c r="L31" s="127"/>
      <c r="M31" s="127">
        <f>IF(M24&lt;&gt;"Ready","Inputs pending",M29-M30)</f>
        <v>24.194326661741499</v>
      </c>
      <c r="N31" s="124" t="s">
        <v>684</v>
      </c>
      <c r="O31" s="117"/>
      <c r="P31" s="117"/>
      <c r="Q31" s="117"/>
      <c r="R31" s="117"/>
      <c r="S31" s="117"/>
    </row>
    <row r="32" spans="1:19" x14ac:dyDescent="0.35">
      <c r="A32" s="117"/>
      <c r="B32" s="117"/>
      <c r="C32" s="117"/>
      <c r="D32" s="123" t="s">
        <v>685</v>
      </c>
      <c r="E32" s="123"/>
      <c r="F32" s="123"/>
      <c r="G32" s="123" t="s">
        <v>581</v>
      </c>
      <c r="H32" s="123"/>
      <c r="I32" s="127">
        <f>IF(I24&lt;&gt;"Ready","Inputs pending",I31-I28)</f>
        <v>-4.9383658545982279</v>
      </c>
      <c r="J32" s="127"/>
      <c r="K32" s="127">
        <f>IF(K24&lt;&gt;"Ready","Inputs pending",K31-K28)</f>
        <v>1.0396783100443052</v>
      </c>
      <c r="L32" s="127"/>
      <c r="M32" s="127">
        <f>IF(M24&lt;&gt;"Ready","Inputs pending",M31-M28)</f>
        <v>4.6921446209251627</v>
      </c>
      <c r="N32" s="123" t="s">
        <v>686</v>
      </c>
      <c r="O32" s="117"/>
      <c r="P32" s="117"/>
      <c r="Q32" s="117"/>
      <c r="R32" s="117"/>
      <c r="S32" s="117"/>
    </row>
    <row r="33" spans="1:19" x14ac:dyDescent="0.35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</row>
    <row r="34" spans="1:19" x14ac:dyDescent="0.35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</row>
    <row r="35" spans="1:19" x14ac:dyDescent="0.35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</row>
    <row r="36" spans="1:19" ht="18" customHeight="1" x14ac:dyDescent="0.35">
      <c r="A36" s="117"/>
      <c r="B36" s="117"/>
      <c r="C36" s="117"/>
      <c r="D36" s="154" t="s">
        <v>687</v>
      </c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17"/>
      <c r="P36" s="117"/>
      <c r="Q36" s="117"/>
      <c r="R36" s="117"/>
      <c r="S36" s="117"/>
    </row>
    <row r="37" spans="1:19" x14ac:dyDescent="0.35">
      <c r="A37" s="117"/>
      <c r="B37" s="117"/>
      <c r="C37" s="117"/>
      <c r="D37" s="118" t="s">
        <v>666</v>
      </c>
      <c r="E37" s="118"/>
      <c r="F37" s="118"/>
      <c r="G37" s="118" t="s">
        <v>2</v>
      </c>
      <c r="H37" s="118"/>
      <c r="I37" s="118" t="s">
        <v>3</v>
      </c>
      <c r="J37" s="118"/>
      <c r="K37" s="118" t="s">
        <v>4</v>
      </c>
      <c r="L37" s="118"/>
      <c r="M37" s="118" t="s">
        <v>5</v>
      </c>
      <c r="N37" s="118" t="s">
        <v>100</v>
      </c>
      <c r="O37" s="117"/>
      <c r="P37" s="117"/>
      <c r="Q37" s="117"/>
      <c r="R37" s="117"/>
      <c r="S37" s="117"/>
    </row>
    <row r="38" spans="1:19" ht="26.5" x14ac:dyDescent="0.35">
      <c r="A38" s="117"/>
      <c r="B38" s="117"/>
      <c r="C38" s="117"/>
      <c r="D38" s="119" t="s">
        <v>688</v>
      </c>
      <c r="E38" s="119"/>
      <c r="F38" s="119"/>
      <c r="G38" s="119" t="s">
        <v>13</v>
      </c>
      <c r="H38" s="119"/>
      <c r="I38" s="126">
        <v>3</v>
      </c>
      <c r="J38" s="126"/>
      <c r="K38" s="126"/>
      <c r="L38" s="126"/>
      <c r="M38" s="126"/>
      <c r="N38" s="119" t="s">
        <v>689</v>
      </c>
      <c r="O38" s="117"/>
      <c r="P38" s="117"/>
      <c r="Q38" s="117"/>
      <c r="R38" s="117"/>
      <c r="S38" s="117"/>
    </row>
    <row r="39" spans="1:19" x14ac:dyDescent="0.35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</row>
    <row r="40" spans="1:19" ht="26.5" x14ac:dyDescent="0.35">
      <c r="A40" s="117"/>
      <c r="B40" s="117"/>
      <c r="C40" s="117"/>
      <c r="D40" s="119" t="s">
        <v>606</v>
      </c>
      <c r="E40" s="119"/>
      <c r="F40" s="119"/>
      <c r="G40" s="119" t="s">
        <v>591</v>
      </c>
      <c r="H40" s="119"/>
      <c r="I40" s="119" t="str">
        <f>IF(OR(ISBLANK(I38),I24&lt;&gt;"Ready"),"Inputs pending","Ready")</f>
        <v>Ready</v>
      </c>
      <c r="J40" s="119"/>
      <c r="K40" s="119" t="str">
        <f>IF(OR(ISBLANK(K38),K24&lt;&gt;"Ready"),"Inputs pending","Ready")</f>
        <v>Inputs pending</v>
      </c>
      <c r="L40" s="119"/>
      <c r="M40" s="119" t="str">
        <f>IF(OR(ISBLANK(M38),M24&lt;&gt;"Ready"),"Inputs pending","Ready")</f>
        <v>Inputs pending</v>
      </c>
      <c r="N40" s="119" t="s">
        <v>690</v>
      </c>
      <c r="O40" s="117"/>
      <c r="P40" s="117"/>
      <c r="Q40" s="117"/>
      <c r="R40" s="117"/>
      <c r="S40" s="117"/>
    </row>
    <row r="41" spans="1:19" x14ac:dyDescent="0.35">
      <c r="A41" s="117"/>
      <c r="B41" s="117"/>
      <c r="C41" s="117"/>
      <c r="D41" s="120" t="s">
        <v>680</v>
      </c>
      <c r="E41" s="120"/>
      <c r="F41" s="120"/>
      <c r="G41" s="120" t="s">
        <v>581</v>
      </c>
      <c r="H41" s="120"/>
      <c r="I41" s="122">
        <f>IF(I40&lt;&gt;"Ready","Inputs pending",I29)</f>
        <v>6.6013515660809787</v>
      </c>
      <c r="J41" s="122"/>
      <c r="K41" s="122" t="str">
        <f>IF(K40&lt;&gt;"Ready","Inputs pending",K29)</f>
        <v>Inputs pending</v>
      </c>
      <c r="L41" s="122"/>
      <c r="M41" s="122" t="str">
        <f>IF(M40&lt;&gt;"Ready","Inputs pending",M29)</f>
        <v>Inputs pending</v>
      </c>
      <c r="N41" s="120" t="s">
        <v>691</v>
      </c>
      <c r="O41" s="117"/>
      <c r="P41" s="117"/>
      <c r="Q41" s="117"/>
      <c r="R41" s="117"/>
      <c r="S41" s="117"/>
    </row>
    <row r="42" spans="1:19" x14ac:dyDescent="0.35">
      <c r="A42" s="117"/>
      <c r="B42" s="117"/>
      <c r="C42" s="117"/>
      <c r="D42" s="119" t="s">
        <v>681</v>
      </c>
      <c r="E42" s="119"/>
      <c r="F42" s="119"/>
      <c r="G42" s="119" t="s">
        <v>581</v>
      </c>
      <c r="H42" s="119"/>
      <c r="I42" s="121">
        <f>IF(I40&lt;&gt;"Ready","Inputs pending",I30)</f>
        <v>16.160663516935891</v>
      </c>
      <c r="J42" s="121"/>
      <c r="K42" s="121" t="str">
        <f>IF(K40&lt;&gt;"Ready","Inputs pending",K30)</f>
        <v>Inputs pending</v>
      </c>
      <c r="L42" s="121"/>
      <c r="M42" s="121" t="str">
        <f>IF(M40&lt;&gt;"Ready","Inputs pending",M30)</f>
        <v>Inputs pending</v>
      </c>
      <c r="N42" s="119" t="s">
        <v>682</v>
      </c>
      <c r="O42" s="117"/>
      <c r="P42" s="117"/>
      <c r="Q42" s="117"/>
      <c r="R42" s="117"/>
      <c r="S42" s="117"/>
    </row>
    <row r="43" spans="1:19" x14ac:dyDescent="0.35">
      <c r="A43" s="117"/>
      <c r="B43" s="117"/>
      <c r="C43" s="117"/>
      <c r="D43" s="124" t="s">
        <v>683</v>
      </c>
      <c r="E43" s="124"/>
      <c r="F43" s="124"/>
      <c r="G43" s="124" t="s">
        <v>581</v>
      </c>
      <c r="H43" s="124"/>
      <c r="I43" s="127">
        <f>IF(I40&lt;&gt;"Ready","Inputs pending",I31)</f>
        <v>-9.5593119508549123</v>
      </c>
      <c r="J43" s="127"/>
      <c r="K43" s="127" t="str">
        <f>IF(K40&lt;&gt;"Ready","Inputs pending",K31)</f>
        <v>Inputs pending</v>
      </c>
      <c r="L43" s="127"/>
      <c r="M43" s="127" t="str">
        <f>IF(M40&lt;&gt;"Ready","Inputs pending",M31)</f>
        <v>Inputs pending</v>
      </c>
      <c r="N43" s="124" t="s">
        <v>692</v>
      </c>
      <c r="O43" s="117"/>
      <c r="P43" s="117"/>
      <c r="Q43" s="117"/>
      <c r="R43" s="117"/>
      <c r="S43" s="117"/>
    </row>
    <row r="44" spans="1:19" ht="26.5" x14ac:dyDescent="0.35">
      <c r="A44" s="117"/>
      <c r="B44" s="117"/>
      <c r="C44" s="117"/>
      <c r="D44" s="119" t="s">
        <v>693</v>
      </c>
      <c r="E44" s="119"/>
      <c r="F44" s="119"/>
      <c r="G44" s="119" t="s">
        <v>581</v>
      </c>
      <c r="H44" s="119"/>
      <c r="I44" s="121">
        <f>IF(I40&lt;&gt;"Ready","Inputs pending",I41*I38)</f>
        <v>19.804054698242936</v>
      </c>
      <c r="J44" s="121"/>
      <c r="K44" s="121" t="str">
        <f>IF(K40&lt;&gt;"Ready","Inputs pending",K41*K38)</f>
        <v>Inputs pending</v>
      </c>
      <c r="L44" s="121"/>
      <c r="M44" s="121" t="str">
        <f>IF(M40&lt;&gt;"Ready","Inputs pending",M41*M38)</f>
        <v>Inputs pending</v>
      </c>
      <c r="N44" s="119" t="s">
        <v>694</v>
      </c>
      <c r="O44" s="117"/>
      <c r="P44" s="117"/>
      <c r="Q44" s="117"/>
      <c r="R44" s="117"/>
      <c r="S44" s="117"/>
    </row>
    <row r="45" spans="1:19" x14ac:dyDescent="0.35">
      <c r="A45" s="117"/>
      <c r="B45" s="117"/>
      <c r="C45" s="117"/>
      <c r="D45" s="120" t="s">
        <v>695</v>
      </c>
      <c r="E45" s="120"/>
      <c r="F45" s="120"/>
      <c r="G45" s="120" t="s">
        <v>581</v>
      </c>
      <c r="H45" s="120"/>
      <c r="I45" s="122">
        <f>IF(I40&lt;&gt;"Ready","Inputs pending",I10)</f>
        <v>16.160663516935891</v>
      </c>
      <c r="J45" s="122"/>
      <c r="K45" s="122" t="str">
        <f>IF(K40&lt;&gt;"Ready","Inputs pending",K10)</f>
        <v>Inputs pending</v>
      </c>
      <c r="L45" s="122"/>
      <c r="M45" s="122" t="str">
        <f>IF(M40&lt;&gt;"Ready","Inputs pending",M10)</f>
        <v>Inputs pending</v>
      </c>
      <c r="N45" s="120" t="s">
        <v>682</v>
      </c>
      <c r="O45" s="117"/>
      <c r="P45" s="117"/>
      <c r="Q45" s="117"/>
      <c r="R45" s="117"/>
      <c r="S45" s="117"/>
    </row>
    <row r="46" spans="1:19" x14ac:dyDescent="0.35">
      <c r="A46" s="117"/>
      <c r="B46" s="117"/>
      <c r="C46" s="117"/>
      <c r="D46" s="123" t="s">
        <v>696</v>
      </c>
      <c r="E46" s="123"/>
      <c r="F46" s="123"/>
      <c r="G46" s="123" t="s">
        <v>581</v>
      </c>
      <c r="H46" s="123"/>
      <c r="I46" s="127">
        <f>IF(I40&lt;&gt;"Ready","Inputs pending",I44-I45)</f>
        <v>3.6433911813070452</v>
      </c>
      <c r="J46" s="127"/>
      <c r="K46" s="127" t="str">
        <f>IF(K40&lt;&gt;"Ready","Inputs pending",K44-K45)</f>
        <v>Inputs pending</v>
      </c>
      <c r="L46" s="127"/>
      <c r="M46" s="127" t="str">
        <f>IF(M40&lt;&gt;"Ready","Inputs pending",M44-M45)</f>
        <v>Inputs pending</v>
      </c>
      <c r="N46" s="123" t="s">
        <v>684</v>
      </c>
      <c r="O46" s="117"/>
      <c r="P46" s="117"/>
      <c r="Q46" s="117"/>
      <c r="R46" s="117"/>
      <c r="S46" s="117"/>
    </row>
    <row r="47" spans="1:19" x14ac:dyDescent="0.35">
      <c r="A47" s="117"/>
      <c r="B47" s="117"/>
      <c r="C47" s="117"/>
      <c r="D47" s="124" t="s">
        <v>697</v>
      </c>
      <c r="E47" s="124"/>
      <c r="F47" s="124"/>
      <c r="G47" s="124" t="s">
        <v>581</v>
      </c>
      <c r="H47" s="124"/>
      <c r="I47" s="127">
        <f>IF(I40&lt;&gt;"Ready","Inputs pending",I46-I43)</f>
        <v>13.202703132161957</v>
      </c>
      <c r="J47" s="127"/>
      <c r="K47" s="127" t="str">
        <f>IF(K40&lt;&gt;"Ready","Inputs pending",K46-K43)</f>
        <v>Inputs pending</v>
      </c>
      <c r="L47" s="127"/>
      <c r="M47" s="127" t="str">
        <f>IF(M40&lt;&gt;"Ready","Inputs pending",M46-M43)</f>
        <v>Inputs pending</v>
      </c>
      <c r="N47" s="124" t="s">
        <v>698</v>
      </c>
      <c r="O47" s="117"/>
      <c r="P47" s="117"/>
      <c r="Q47" s="117"/>
      <c r="R47" s="117"/>
      <c r="S47" s="117"/>
    </row>
    <row r="48" spans="1:19" x14ac:dyDescent="0.35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</row>
    <row r="49" spans="1:19" x14ac:dyDescent="0.3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</row>
    <row r="50" spans="1:19" x14ac:dyDescent="0.3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</row>
    <row r="51" spans="1:19" x14ac:dyDescent="0.3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</row>
    <row r="52" spans="1:19" ht="18" customHeight="1" x14ac:dyDescent="0.35">
      <c r="A52" s="117"/>
      <c r="B52" s="117"/>
      <c r="C52" s="117"/>
      <c r="D52" s="155" t="s">
        <v>699</v>
      </c>
      <c r="E52" s="155"/>
      <c r="F52" s="155"/>
      <c r="G52" s="155"/>
      <c r="H52" s="155"/>
      <c r="I52" s="155"/>
      <c r="J52" s="155"/>
      <c r="K52" s="155"/>
      <c r="L52" s="155"/>
      <c r="M52" s="155"/>
      <c r="N52" s="155"/>
      <c r="O52" s="117"/>
      <c r="P52" s="117"/>
      <c r="Q52" s="117"/>
      <c r="R52" s="117"/>
      <c r="S52" s="117"/>
    </row>
    <row r="53" spans="1:19" x14ac:dyDescent="0.35">
      <c r="A53" s="117"/>
      <c r="B53" s="117"/>
      <c r="C53" s="117"/>
      <c r="D53" s="118" t="s">
        <v>666</v>
      </c>
      <c r="E53" s="118"/>
      <c r="F53" s="118"/>
      <c r="G53" s="118" t="s">
        <v>2</v>
      </c>
      <c r="H53" s="118"/>
      <c r="I53" s="118" t="s">
        <v>3</v>
      </c>
      <c r="J53" s="118"/>
      <c r="K53" s="118" t="s">
        <v>4</v>
      </c>
      <c r="L53" s="118"/>
      <c r="M53" s="118" t="s">
        <v>5</v>
      </c>
      <c r="N53" s="118" t="s">
        <v>100</v>
      </c>
      <c r="O53" s="117"/>
      <c r="P53" s="117"/>
      <c r="Q53" s="117"/>
      <c r="R53" s="117"/>
      <c r="S53" s="117"/>
    </row>
    <row r="54" spans="1:19" x14ac:dyDescent="0.35">
      <c r="A54" s="117"/>
      <c r="B54" s="117"/>
      <c r="C54" s="117"/>
      <c r="D54" s="119" t="s">
        <v>669</v>
      </c>
      <c r="E54" s="119"/>
      <c r="F54" s="119"/>
      <c r="G54" s="119" t="s">
        <v>37</v>
      </c>
      <c r="H54" s="119"/>
      <c r="I54" s="125">
        <v>0.3</v>
      </c>
      <c r="J54" s="125"/>
      <c r="K54" s="125">
        <v>0.3</v>
      </c>
      <c r="L54" s="125"/>
      <c r="M54" s="125">
        <v>0.3</v>
      </c>
      <c r="N54" s="119" t="s">
        <v>700</v>
      </c>
      <c r="O54" s="117"/>
      <c r="P54" s="117"/>
      <c r="Q54" s="117"/>
      <c r="R54" s="117"/>
      <c r="S54" s="117"/>
    </row>
    <row r="55" spans="1:19" x14ac:dyDescent="0.35">
      <c r="A55" s="117"/>
      <c r="B55" s="117"/>
      <c r="C55" s="117"/>
      <c r="D55" s="120" t="s">
        <v>701</v>
      </c>
      <c r="E55" s="120"/>
      <c r="F55" s="120"/>
      <c r="G55" s="120" t="s">
        <v>37</v>
      </c>
      <c r="H55" s="120"/>
      <c r="I55" s="125">
        <v>0.55000000000000004</v>
      </c>
      <c r="J55" s="125"/>
      <c r="K55" s="125">
        <v>0.55000000000000004</v>
      </c>
      <c r="L55" s="125"/>
      <c r="M55" s="125">
        <v>0.55000000000000004</v>
      </c>
      <c r="N55" s="120" t="s">
        <v>702</v>
      </c>
      <c r="O55" s="117"/>
      <c r="P55" s="117"/>
      <c r="Q55" s="117"/>
      <c r="R55" s="117"/>
      <c r="S55" s="117"/>
    </row>
    <row r="56" spans="1:19" ht="26.5" x14ac:dyDescent="0.35">
      <c r="A56" s="117"/>
      <c r="B56" s="117"/>
      <c r="C56" s="117"/>
      <c r="D56" s="119" t="s">
        <v>703</v>
      </c>
      <c r="E56" s="119"/>
      <c r="F56" s="119"/>
      <c r="G56" s="119" t="s">
        <v>13</v>
      </c>
      <c r="H56" s="119"/>
      <c r="I56" s="126">
        <v>1.05</v>
      </c>
      <c r="J56" s="126"/>
      <c r="K56" s="126">
        <v>0.65</v>
      </c>
      <c r="L56" s="126"/>
      <c r="M56" s="126">
        <v>0.6</v>
      </c>
      <c r="N56" s="119" t="s">
        <v>704</v>
      </c>
      <c r="O56" s="117"/>
      <c r="P56" s="117"/>
      <c r="Q56" s="117"/>
      <c r="R56" s="117"/>
      <c r="S56" s="117"/>
    </row>
    <row r="57" spans="1:19" x14ac:dyDescent="0.3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</row>
    <row r="58" spans="1:19" ht="26.5" x14ac:dyDescent="0.35">
      <c r="A58" s="117"/>
      <c r="B58" s="117"/>
      <c r="C58" s="117"/>
      <c r="D58" s="119" t="s">
        <v>606</v>
      </c>
      <c r="E58" s="119"/>
      <c r="F58" s="119"/>
      <c r="G58" s="119" t="s">
        <v>591</v>
      </c>
      <c r="H58" s="119"/>
      <c r="I58" s="119" t="str">
        <f>IF(OR(ISBLANK(I54),ISBLANK(I55),ISBLANK(I56),I54&gt;=1,I55&gt;=1),"Inputs pending","Ready")</f>
        <v>Ready</v>
      </c>
      <c r="J58" s="119"/>
      <c r="K58" s="119" t="str">
        <f>IF(OR(ISBLANK(K54),ISBLANK(K55),ISBLANK(K56),K54&gt;=1,K55&gt;=1),"Inputs pending","Ready")</f>
        <v>Ready</v>
      </c>
      <c r="L58" s="119"/>
      <c r="M58" s="119" t="str">
        <f>IF(OR(ISBLANK(M54),ISBLANK(M55),ISBLANK(M56),M54&gt;=1,M55&gt;=1),"Inputs pending","Ready")</f>
        <v>Ready</v>
      </c>
      <c r="N58" s="119" t="s">
        <v>705</v>
      </c>
      <c r="O58" s="117"/>
      <c r="P58" s="117"/>
      <c r="Q58" s="117"/>
      <c r="R58" s="117"/>
      <c r="S58" s="117"/>
    </row>
    <row r="59" spans="1:19" ht="26.5" x14ac:dyDescent="0.35">
      <c r="A59" s="117"/>
      <c r="B59" s="117"/>
      <c r="C59" s="117"/>
      <c r="D59" s="120" t="s">
        <v>706</v>
      </c>
      <c r="E59" s="120"/>
      <c r="F59" s="120"/>
      <c r="G59" s="120" t="s">
        <v>581</v>
      </c>
      <c r="H59" s="120"/>
      <c r="I59" s="122">
        <f>IF(I58&lt;&gt;"Ready","Inputs pending",I64/(1-I54))</f>
        <v>15.865154805194807</v>
      </c>
      <c r="J59" s="122"/>
      <c r="K59" s="122">
        <f>IF(K58&lt;&gt;"Ready","Inputs pending",K64/(1-K54))</f>
        <v>29.297450851370858</v>
      </c>
      <c r="L59" s="122"/>
      <c r="M59" s="122">
        <f>IF(M58&lt;&gt;"Ready","Inputs pending",M64/(1-M54))</f>
        <v>69.314615238095243</v>
      </c>
      <c r="N59" s="120" t="s">
        <v>707</v>
      </c>
      <c r="O59" s="117"/>
      <c r="P59" s="117"/>
      <c r="Q59" s="117"/>
      <c r="R59" s="117"/>
      <c r="S59" s="117"/>
    </row>
    <row r="60" spans="1:19" ht="26.5" x14ac:dyDescent="0.35">
      <c r="A60" s="117"/>
      <c r="B60" s="117"/>
      <c r="C60" s="117"/>
      <c r="D60" s="119" t="s">
        <v>708</v>
      </c>
      <c r="E60" s="119"/>
      <c r="F60" s="119"/>
      <c r="G60" s="119" t="s">
        <v>581</v>
      </c>
      <c r="H60" s="119"/>
      <c r="I60" s="121">
        <f>IF(I58&lt;&gt;"Ready","Inputs pending",I59*I54)</f>
        <v>4.7595464415584416</v>
      </c>
      <c r="J60" s="121"/>
      <c r="K60" s="121">
        <f>IF(K58&lt;&gt;"Ready","Inputs pending",K59*K54)</f>
        <v>8.7892352554112563</v>
      </c>
      <c r="L60" s="121"/>
      <c r="M60" s="121">
        <f>IF(M58&lt;&gt;"Ready","Inputs pending",M59*M54)</f>
        <v>20.794384571428573</v>
      </c>
      <c r="N60" s="119" t="s">
        <v>709</v>
      </c>
      <c r="O60" s="117"/>
      <c r="P60" s="117"/>
      <c r="Q60" s="117"/>
      <c r="R60" s="117"/>
      <c r="S60" s="117"/>
    </row>
    <row r="61" spans="1:19" ht="26.5" x14ac:dyDescent="0.35">
      <c r="A61" s="117"/>
      <c r="B61" s="117"/>
      <c r="C61" s="117"/>
      <c r="D61" s="120" t="s">
        <v>710</v>
      </c>
      <c r="E61" s="120"/>
      <c r="F61" s="120"/>
      <c r="G61" s="120" t="s">
        <v>581</v>
      </c>
      <c r="H61" s="120"/>
      <c r="I61" s="122">
        <f>IF(I58&lt;&gt;"Ready","Inputs pending",I12)</f>
        <v>5.9090909090909092</v>
      </c>
      <c r="J61" s="122"/>
      <c r="K61" s="122">
        <f>IF(K58&lt;&gt;"Ready","Inputs pending",K12)</f>
        <v>12.121212121212121</v>
      </c>
      <c r="L61" s="122"/>
      <c r="M61" s="122">
        <f>IF(M58&lt;&gt;"Ready","Inputs pending",M12)</f>
        <v>30.303030303030305</v>
      </c>
      <c r="N61" s="120" t="s">
        <v>711</v>
      </c>
      <c r="O61" s="117"/>
      <c r="P61" s="117"/>
      <c r="Q61" s="117"/>
      <c r="R61" s="117"/>
      <c r="S61" s="117"/>
    </row>
    <row r="62" spans="1:19" ht="26.5" x14ac:dyDescent="0.35">
      <c r="A62" s="117"/>
      <c r="B62" s="117"/>
      <c r="C62" s="117"/>
      <c r="D62" s="119" t="s">
        <v>712</v>
      </c>
      <c r="E62" s="119"/>
      <c r="F62" s="119"/>
      <c r="G62" s="119" t="s">
        <v>581</v>
      </c>
      <c r="H62" s="119"/>
      <c r="I62" s="121">
        <f>IF(I58&lt;&gt;"Ready","Inputs pending",I61*I55)</f>
        <v>3.2500000000000004</v>
      </c>
      <c r="J62" s="121"/>
      <c r="K62" s="121">
        <f>IF(K58&lt;&gt;"Ready","Inputs pending",K61*K55)</f>
        <v>6.666666666666667</v>
      </c>
      <c r="L62" s="121"/>
      <c r="M62" s="121">
        <f>IF(M58&lt;&gt;"Ready","Inputs pending",M61*M55)</f>
        <v>16.666666666666668</v>
      </c>
      <c r="N62" s="119" t="s">
        <v>713</v>
      </c>
      <c r="O62" s="117"/>
      <c r="P62" s="117"/>
      <c r="Q62" s="117"/>
      <c r="R62" s="117"/>
      <c r="S62" s="117"/>
    </row>
    <row r="63" spans="1:19" ht="26.5" x14ac:dyDescent="0.35">
      <c r="A63" s="117"/>
      <c r="B63" s="117"/>
      <c r="C63" s="117"/>
      <c r="D63" s="124" t="s">
        <v>714</v>
      </c>
      <c r="E63" s="124"/>
      <c r="F63" s="124"/>
      <c r="G63" s="124" t="s">
        <v>581</v>
      </c>
      <c r="H63" s="124"/>
      <c r="I63" s="127">
        <f>IF(I58&lt;&gt;"Ready","Inputs pending",I59*I54)</f>
        <v>4.7595464415584416</v>
      </c>
      <c r="J63" s="127"/>
      <c r="K63" s="127">
        <f>IF(K58&lt;&gt;"Ready","Inputs pending",K59*K54)</f>
        <v>8.7892352554112563</v>
      </c>
      <c r="L63" s="127"/>
      <c r="M63" s="127">
        <f>IF(M58&lt;&gt;"Ready","Inputs pending",M59*M54)</f>
        <v>20.794384571428573</v>
      </c>
      <c r="N63" s="124" t="s">
        <v>715</v>
      </c>
      <c r="O63" s="117"/>
      <c r="P63" s="117"/>
      <c r="Q63" s="117"/>
      <c r="R63" s="117"/>
      <c r="S63" s="117"/>
    </row>
    <row r="64" spans="1:19" x14ac:dyDescent="0.35">
      <c r="A64" s="117"/>
      <c r="B64" s="117"/>
      <c r="C64" s="117"/>
      <c r="D64" s="119" t="s">
        <v>716</v>
      </c>
      <c r="E64" s="119"/>
      <c r="F64" s="119"/>
      <c r="G64" s="119" t="s">
        <v>581</v>
      </c>
      <c r="H64" s="119"/>
      <c r="I64" s="121">
        <f>IF(I58&lt;&gt;"Ready","Inputs pending",I11+I62)</f>
        <v>11.105608363636364</v>
      </c>
      <c r="J64" s="121"/>
      <c r="K64" s="121">
        <f>IF(K58&lt;&gt;"Ready","Inputs pending",K11+K62)</f>
        <v>20.508215595959598</v>
      </c>
      <c r="L64" s="121"/>
      <c r="M64" s="121">
        <f>IF(M58&lt;&gt;"Ready","Inputs pending",M11+M62)</f>
        <v>48.520230666666663</v>
      </c>
      <c r="N64" s="119" t="s">
        <v>717</v>
      </c>
      <c r="O64" s="117"/>
      <c r="P64" s="117"/>
      <c r="Q64" s="117"/>
      <c r="R64" s="117"/>
      <c r="S64" s="117"/>
    </row>
    <row r="65" spans="1:19" ht="26.5" x14ac:dyDescent="0.35">
      <c r="A65" s="117"/>
      <c r="B65" s="117"/>
      <c r="C65" s="117"/>
      <c r="D65" s="120" t="s">
        <v>718</v>
      </c>
      <c r="E65" s="120"/>
      <c r="F65" s="120"/>
      <c r="G65" s="120" t="s">
        <v>581</v>
      </c>
      <c r="H65" s="120"/>
      <c r="I65" s="122">
        <f>IF(I58&lt;&gt;"Ready","Inputs pending",I59*I56)</f>
        <v>16.658412545454549</v>
      </c>
      <c r="J65" s="122"/>
      <c r="K65" s="122">
        <f>IF(K58&lt;&gt;"Ready","Inputs pending",K59*K56)</f>
        <v>19.043343053391059</v>
      </c>
      <c r="L65" s="122"/>
      <c r="M65" s="122">
        <f>IF(M58&lt;&gt;"Ready","Inputs pending",M59*M56)</f>
        <v>41.588769142857146</v>
      </c>
      <c r="N65" s="120" t="s">
        <v>719</v>
      </c>
      <c r="O65" s="117"/>
      <c r="P65" s="117"/>
      <c r="Q65" s="117"/>
      <c r="R65" s="117"/>
      <c r="S65" s="117"/>
    </row>
    <row r="66" spans="1:19" x14ac:dyDescent="0.35">
      <c r="A66" s="117"/>
      <c r="B66" s="117"/>
      <c r="C66" s="117"/>
      <c r="D66" s="119" t="s">
        <v>720</v>
      </c>
      <c r="E66" s="119"/>
      <c r="F66" s="119"/>
      <c r="G66" s="119" t="s">
        <v>581</v>
      </c>
      <c r="H66" s="119"/>
      <c r="I66" s="121">
        <f>IF(I58&lt;&gt;"Ready","Inputs pending",I10)</f>
        <v>16.160663516935891</v>
      </c>
      <c r="J66" s="121"/>
      <c r="K66" s="121">
        <f>IF(K58&lt;&gt;"Ready","Inputs pending",K10)</f>
        <v>18.733963017517024</v>
      </c>
      <c r="L66" s="121"/>
      <c r="M66" s="121">
        <f>IF(M58&lt;&gt;"Ready","Inputs pending",M10)</f>
        <v>40.81294680764627</v>
      </c>
      <c r="N66" s="119" t="s">
        <v>682</v>
      </c>
      <c r="O66" s="117"/>
      <c r="P66" s="117"/>
      <c r="Q66" s="117"/>
      <c r="R66" s="117"/>
      <c r="S66" s="117"/>
    </row>
    <row r="67" spans="1:19" x14ac:dyDescent="0.35">
      <c r="A67" s="117"/>
      <c r="B67" s="117"/>
      <c r="C67" s="117"/>
      <c r="D67" s="124" t="s">
        <v>721</v>
      </c>
      <c r="E67" s="124"/>
      <c r="F67" s="124"/>
      <c r="G67" s="124" t="s">
        <v>581</v>
      </c>
      <c r="H67" s="124"/>
      <c r="I67" s="127">
        <f>IF(I58&lt;&gt;"Ready","Inputs pending",I65-I66)</f>
        <v>0.49774902851865832</v>
      </c>
      <c r="J67" s="127"/>
      <c r="K67" s="127">
        <f>IF(K58&lt;&gt;"Ready","Inputs pending",K65-K66)</f>
        <v>0.30938003587403529</v>
      </c>
      <c r="L67" s="127"/>
      <c r="M67" s="127">
        <f>IF(M58&lt;&gt;"Ready","Inputs pending",M65-M66)</f>
        <v>0.77582233521087574</v>
      </c>
      <c r="N67" s="124" t="s">
        <v>684</v>
      </c>
      <c r="O67" s="117"/>
      <c r="P67" s="117"/>
      <c r="Q67" s="117"/>
      <c r="R67" s="117"/>
      <c r="S67" s="117"/>
    </row>
    <row r="68" spans="1:19" ht="26.5" x14ac:dyDescent="0.35">
      <c r="A68" s="117"/>
      <c r="B68" s="117"/>
      <c r="C68" s="117"/>
      <c r="D68" s="123" t="s">
        <v>722</v>
      </c>
      <c r="E68" s="123"/>
      <c r="F68" s="123"/>
      <c r="G68" s="123" t="s">
        <v>581</v>
      </c>
      <c r="H68" s="123"/>
      <c r="I68" s="127">
        <f>IF(I58&lt;&gt;"Ready","Inputs pending",I67-I63)</f>
        <v>-4.2617974130397833</v>
      </c>
      <c r="J68" s="127"/>
      <c r="K68" s="127">
        <f>IF(K58&lt;&gt;"Ready","Inputs pending",K67-K63)</f>
        <v>-8.479855219537221</v>
      </c>
      <c r="L68" s="127"/>
      <c r="M68" s="127">
        <f>IF(M58&lt;&gt;"Ready","Inputs pending",M67-M63)</f>
        <v>-20.018562236217697</v>
      </c>
      <c r="N68" s="123" t="s">
        <v>723</v>
      </c>
      <c r="O68" s="117"/>
      <c r="P68" s="117"/>
      <c r="Q68" s="117"/>
      <c r="R68" s="117"/>
      <c r="S68" s="117"/>
    </row>
    <row r="69" spans="1:19" x14ac:dyDescent="0.3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</row>
    <row r="70" spans="1:19" x14ac:dyDescent="0.3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</row>
    <row r="71" spans="1:19" x14ac:dyDescent="0.3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</row>
    <row r="72" spans="1:19" x14ac:dyDescent="0.3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</row>
    <row r="73" spans="1:19" x14ac:dyDescent="0.3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</row>
    <row r="74" spans="1:19" ht="18" customHeight="1" x14ac:dyDescent="0.35">
      <c r="A74" s="117"/>
      <c r="B74" s="117"/>
      <c r="C74" s="117"/>
      <c r="D74" s="155" t="s">
        <v>724</v>
      </c>
      <c r="E74" s="155"/>
      <c r="F74" s="155"/>
      <c r="G74" s="155"/>
      <c r="H74" s="155"/>
      <c r="I74" s="155"/>
      <c r="J74" s="155"/>
      <c r="K74" s="155"/>
      <c r="L74" s="155"/>
      <c r="M74" s="155"/>
      <c r="N74" s="155"/>
      <c r="O74" s="117"/>
      <c r="P74" s="117"/>
      <c r="Q74" s="117"/>
      <c r="R74" s="117"/>
      <c r="S74" s="117"/>
    </row>
    <row r="75" spans="1:19" x14ac:dyDescent="0.35">
      <c r="A75" s="117"/>
      <c r="B75" s="117"/>
      <c r="C75" s="117"/>
      <c r="D75" s="118" t="s">
        <v>666</v>
      </c>
      <c r="E75" s="118"/>
      <c r="F75" s="118"/>
      <c r="G75" s="118" t="s">
        <v>2</v>
      </c>
      <c r="H75" s="118"/>
      <c r="I75" s="118" t="s">
        <v>3</v>
      </c>
      <c r="J75" s="118"/>
      <c r="K75" s="118" t="s">
        <v>4</v>
      </c>
      <c r="L75" s="118"/>
      <c r="M75" s="118" t="s">
        <v>5</v>
      </c>
      <c r="N75" s="118" t="s">
        <v>100</v>
      </c>
      <c r="O75" s="117"/>
      <c r="P75" s="117"/>
      <c r="Q75" s="117"/>
      <c r="R75" s="117"/>
      <c r="S75" s="117"/>
    </row>
    <row r="76" spans="1:19" x14ac:dyDescent="0.35">
      <c r="A76" s="117"/>
      <c r="B76" s="117"/>
      <c r="C76" s="117"/>
      <c r="D76" s="119" t="s">
        <v>669</v>
      </c>
      <c r="E76" s="119"/>
      <c r="F76" s="119"/>
      <c r="G76" s="119" t="s">
        <v>37</v>
      </c>
      <c r="H76" s="119"/>
      <c r="I76" s="125">
        <v>0.3</v>
      </c>
      <c r="J76" s="125"/>
      <c r="K76" s="125">
        <v>0.3</v>
      </c>
      <c r="L76" s="125"/>
      <c r="M76" s="125">
        <v>0.3</v>
      </c>
      <c r="N76" s="119" t="s">
        <v>700</v>
      </c>
      <c r="O76" s="117"/>
      <c r="P76" s="117"/>
      <c r="Q76" s="117"/>
      <c r="R76" s="117"/>
      <c r="S76" s="117"/>
    </row>
    <row r="77" spans="1:19" x14ac:dyDescent="0.35">
      <c r="A77" s="117"/>
      <c r="B77" s="117"/>
      <c r="C77" s="117"/>
      <c r="D77" s="120" t="s">
        <v>701</v>
      </c>
      <c r="E77" s="120"/>
      <c r="F77" s="120"/>
      <c r="G77" s="120" t="s">
        <v>37</v>
      </c>
      <c r="H77" s="120"/>
      <c r="I77" s="125">
        <v>0.55000000000000004</v>
      </c>
      <c r="J77" s="125"/>
      <c r="K77" s="125">
        <v>0.55000000000000004</v>
      </c>
      <c r="L77" s="125"/>
      <c r="M77" s="125">
        <v>0.55000000000000004</v>
      </c>
      <c r="N77" s="120" t="s">
        <v>702</v>
      </c>
      <c r="O77" s="117"/>
      <c r="P77" s="117"/>
      <c r="Q77" s="117"/>
      <c r="R77" s="117"/>
      <c r="S77" s="117"/>
    </row>
    <row r="78" spans="1:19" x14ac:dyDescent="0.35">
      <c r="A78" s="117"/>
      <c r="B78" s="117"/>
      <c r="C78" s="117"/>
      <c r="D78" s="119" t="s">
        <v>725</v>
      </c>
      <c r="E78" s="119"/>
      <c r="F78" s="119"/>
      <c r="G78" s="119" t="s">
        <v>37</v>
      </c>
      <c r="H78" s="119"/>
      <c r="I78" s="125">
        <v>0.4</v>
      </c>
      <c r="J78" s="125"/>
      <c r="K78" s="125">
        <v>0.4</v>
      </c>
      <c r="L78" s="125"/>
      <c r="M78" s="125">
        <v>0.4</v>
      </c>
      <c r="N78" s="119" t="s">
        <v>726</v>
      </c>
      <c r="O78" s="117"/>
      <c r="P78" s="117"/>
      <c r="Q78" s="117"/>
      <c r="R78" s="117"/>
      <c r="S78" s="117"/>
    </row>
    <row r="79" spans="1:19" ht="26.5" x14ac:dyDescent="0.35">
      <c r="A79" s="117"/>
      <c r="B79" s="117"/>
      <c r="C79" s="117"/>
      <c r="D79" s="120" t="s">
        <v>727</v>
      </c>
      <c r="E79" s="120"/>
      <c r="F79" s="120"/>
      <c r="G79" s="120" t="s">
        <v>13</v>
      </c>
      <c r="H79" s="120"/>
      <c r="I79" s="126">
        <v>0.95</v>
      </c>
      <c r="J79" s="126"/>
      <c r="K79" s="126">
        <v>0.6</v>
      </c>
      <c r="L79" s="126"/>
      <c r="M79" s="126">
        <v>0.55000000000000004</v>
      </c>
      <c r="N79" s="120" t="s">
        <v>728</v>
      </c>
      <c r="O79" s="117"/>
      <c r="P79" s="117"/>
      <c r="Q79" s="117"/>
      <c r="R79" s="117"/>
      <c r="S79" s="117"/>
    </row>
    <row r="80" spans="1:19" x14ac:dyDescent="0.3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</row>
    <row r="81" spans="1:19" ht="26.5" x14ac:dyDescent="0.35">
      <c r="A81" s="117"/>
      <c r="B81" s="117"/>
      <c r="C81" s="117"/>
      <c r="D81" s="120" t="s">
        <v>606</v>
      </c>
      <c r="E81" s="120"/>
      <c r="F81" s="120"/>
      <c r="G81" s="120" t="s">
        <v>591</v>
      </c>
      <c r="H81" s="120"/>
      <c r="I81" s="120" t="str">
        <f>IF(OR(ISBLANK(I76),ISBLANK(I77),ISBLANK(I78),ISBLANK(I79),I76&gt;=1,I77&gt;=1,I78&gt;=1),"Inputs pending","Ready")</f>
        <v>Ready</v>
      </c>
      <c r="J81" s="120"/>
      <c r="K81" s="120" t="str">
        <f>IF(OR(ISBLANK(K76),ISBLANK(K77),ISBLANK(K78),ISBLANK(K79),K76&gt;=1,K77&gt;=1,K78&gt;=1),"Inputs pending","Ready")</f>
        <v>Ready</v>
      </c>
      <c r="L81" s="120"/>
      <c r="M81" s="120" t="str">
        <f>IF(OR(ISBLANK(M76),ISBLANK(M77),ISBLANK(M78),ISBLANK(M79),M76&gt;=1,M77&gt;=1,M78&gt;=1),"Inputs pending","Ready")</f>
        <v>Ready</v>
      </c>
      <c r="N81" s="120" t="s">
        <v>705</v>
      </c>
      <c r="O81" s="117"/>
      <c r="P81" s="117"/>
      <c r="Q81" s="117"/>
      <c r="R81" s="117"/>
      <c r="S81" s="117"/>
    </row>
    <row r="82" spans="1:19" ht="26.5" x14ac:dyDescent="0.35">
      <c r="A82" s="117"/>
      <c r="B82" s="117"/>
      <c r="C82" s="117"/>
      <c r="D82" s="119" t="s">
        <v>706</v>
      </c>
      <c r="E82" s="119"/>
      <c r="F82" s="119"/>
      <c r="G82" s="119" t="s">
        <v>581</v>
      </c>
      <c r="H82" s="119"/>
      <c r="I82" s="121">
        <f>IF(I81&lt;&gt;"Ready","Inputs pending",I89/(1-I76))</f>
        <v>17.384635324675326</v>
      </c>
      <c r="J82" s="121"/>
      <c r="K82" s="121">
        <f>IF(K81&lt;&gt;"Ready","Inputs pending",K89/(1-K76))</f>
        <v>32.41433396825397</v>
      </c>
      <c r="L82" s="121"/>
      <c r="M82" s="121">
        <f>IF(M81&lt;&gt;"Ready","Inputs pending",M89/(1-M76))</f>
        <v>77.106823030303033</v>
      </c>
      <c r="N82" s="119" t="s">
        <v>707</v>
      </c>
      <c r="O82" s="117"/>
      <c r="P82" s="117"/>
      <c r="Q82" s="117"/>
      <c r="R82" s="117"/>
      <c r="S82" s="117"/>
    </row>
    <row r="83" spans="1:19" ht="26.5" x14ac:dyDescent="0.35">
      <c r="A83" s="117"/>
      <c r="B83" s="117"/>
      <c r="C83" s="117"/>
      <c r="D83" s="120" t="s">
        <v>708</v>
      </c>
      <c r="E83" s="120"/>
      <c r="F83" s="120"/>
      <c r="G83" s="120" t="s">
        <v>581</v>
      </c>
      <c r="H83" s="120"/>
      <c r="I83" s="122">
        <f>IF(I81&lt;&gt;"Ready","Inputs pending",I82*I76)</f>
        <v>5.2153905974025978</v>
      </c>
      <c r="J83" s="122"/>
      <c r="K83" s="122">
        <f>IF(K81&lt;&gt;"Ready","Inputs pending",K82*K76)</f>
        <v>9.7243001904761908</v>
      </c>
      <c r="L83" s="122"/>
      <c r="M83" s="122">
        <f>IF(M81&lt;&gt;"Ready","Inputs pending",M82*M76)</f>
        <v>23.13204690909091</v>
      </c>
      <c r="N83" s="120" t="s">
        <v>709</v>
      </c>
      <c r="O83" s="117"/>
      <c r="P83" s="117"/>
      <c r="Q83" s="117"/>
      <c r="R83" s="117"/>
      <c r="S83" s="117"/>
    </row>
    <row r="84" spans="1:19" ht="26.5" x14ac:dyDescent="0.35">
      <c r="A84" s="117"/>
      <c r="B84" s="117"/>
      <c r="C84" s="117"/>
      <c r="D84" s="119" t="s">
        <v>710</v>
      </c>
      <c r="E84" s="119"/>
      <c r="F84" s="119"/>
      <c r="G84" s="119" t="s">
        <v>581</v>
      </c>
      <c r="H84" s="119"/>
      <c r="I84" s="121">
        <f>IF(I81&lt;&gt;"Ready","Inputs pending",I12)</f>
        <v>5.9090909090909092</v>
      </c>
      <c r="J84" s="121"/>
      <c r="K84" s="121">
        <f>IF(K81&lt;&gt;"Ready","Inputs pending",K12)</f>
        <v>12.121212121212121</v>
      </c>
      <c r="L84" s="121"/>
      <c r="M84" s="121">
        <f>IF(M81&lt;&gt;"Ready","Inputs pending",M12)</f>
        <v>30.303030303030305</v>
      </c>
      <c r="N84" s="119" t="s">
        <v>711</v>
      </c>
      <c r="O84" s="117"/>
      <c r="P84" s="117"/>
      <c r="Q84" s="117"/>
      <c r="R84" s="117"/>
      <c r="S84" s="117"/>
    </row>
    <row r="85" spans="1:19" ht="26.5" x14ac:dyDescent="0.35">
      <c r="A85" s="117"/>
      <c r="B85" s="117"/>
      <c r="C85" s="117"/>
      <c r="D85" s="120" t="s">
        <v>712</v>
      </c>
      <c r="E85" s="120"/>
      <c r="F85" s="120"/>
      <c r="G85" s="120" t="s">
        <v>581</v>
      </c>
      <c r="H85" s="120"/>
      <c r="I85" s="122">
        <f>IF(I81&lt;&gt;"Ready","Inputs pending",I84*I77)</f>
        <v>3.2500000000000004</v>
      </c>
      <c r="J85" s="122"/>
      <c r="K85" s="122">
        <f>IF(K81&lt;&gt;"Ready","Inputs pending",K84*K77)</f>
        <v>6.666666666666667</v>
      </c>
      <c r="L85" s="122"/>
      <c r="M85" s="122">
        <f>IF(M81&lt;&gt;"Ready","Inputs pending",M84*M77)</f>
        <v>16.666666666666668</v>
      </c>
      <c r="N85" s="120" t="s">
        <v>713</v>
      </c>
      <c r="O85" s="117"/>
      <c r="P85" s="117"/>
      <c r="Q85" s="117"/>
      <c r="R85" s="117"/>
      <c r="S85" s="117"/>
    </row>
    <row r="86" spans="1:19" ht="26.5" x14ac:dyDescent="0.35">
      <c r="A86" s="117"/>
      <c r="B86" s="117"/>
      <c r="C86" s="117"/>
      <c r="D86" s="119" t="s">
        <v>729</v>
      </c>
      <c r="E86" s="119"/>
      <c r="F86" s="119"/>
      <c r="G86" s="119" t="s">
        <v>581</v>
      </c>
      <c r="H86" s="119"/>
      <c r="I86" s="121">
        <f>IF(I81&lt;&gt;"Ready","Inputs pending",I84*(1-I77))</f>
        <v>2.6590909090909087</v>
      </c>
      <c r="J86" s="121"/>
      <c r="K86" s="121">
        <f>IF(K81&lt;&gt;"Ready","Inputs pending",K84*(1-K77))</f>
        <v>5.4545454545454541</v>
      </c>
      <c r="L86" s="121"/>
      <c r="M86" s="121">
        <f>IF(M81&lt;&gt;"Ready","Inputs pending",M84*(1-M77))</f>
        <v>13.636363636363635</v>
      </c>
      <c r="N86" s="119" t="s">
        <v>730</v>
      </c>
      <c r="O86" s="117"/>
      <c r="P86" s="117"/>
      <c r="Q86" s="117"/>
      <c r="R86" s="117"/>
      <c r="S86" s="117"/>
    </row>
    <row r="87" spans="1:19" ht="26.5" x14ac:dyDescent="0.35">
      <c r="A87" s="117"/>
      <c r="B87" s="117"/>
      <c r="C87" s="117"/>
      <c r="D87" s="120" t="s">
        <v>731</v>
      </c>
      <c r="E87" s="120"/>
      <c r="F87" s="120"/>
      <c r="G87" s="120" t="s">
        <v>581</v>
      </c>
      <c r="H87" s="120"/>
      <c r="I87" s="122">
        <f>IF(I81&lt;&gt;"Ready","Inputs pending",I86*I78)</f>
        <v>1.0636363636363635</v>
      </c>
      <c r="J87" s="122"/>
      <c r="K87" s="122">
        <f>IF(K81&lt;&gt;"Ready","Inputs pending",K86*K78)</f>
        <v>2.1818181818181817</v>
      </c>
      <c r="L87" s="122"/>
      <c r="M87" s="122">
        <f>IF(M81&lt;&gt;"Ready","Inputs pending",M86*M78)</f>
        <v>5.4545454545454541</v>
      </c>
      <c r="N87" s="120" t="s">
        <v>732</v>
      </c>
      <c r="O87" s="117"/>
      <c r="P87" s="117"/>
      <c r="Q87" s="117"/>
      <c r="R87" s="117"/>
      <c r="S87" s="117"/>
    </row>
    <row r="88" spans="1:19" ht="26.5" x14ac:dyDescent="0.35">
      <c r="A88" s="117"/>
      <c r="B88" s="117"/>
      <c r="C88" s="117"/>
      <c r="D88" s="123" t="s">
        <v>714</v>
      </c>
      <c r="E88" s="123"/>
      <c r="F88" s="123"/>
      <c r="G88" s="123" t="s">
        <v>581</v>
      </c>
      <c r="H88" s="123"/>
      <c r="I88" s="127">
        <f>IF(I81&lt;&gt;"Ready","Inputs pending",I82*I76)</f>
        <v>5.2153905974025978</v>
      </c>
      <c r="J88" s="127"/>
      <c r="K88" s="127">
        <f>IF(K81&lt;&gt;"Ready","Inputs pending",K82*K76)</f>
        <v>9.7243001904761908</v>
      </c>
      <c r="L88" s="127"/>
      <c r="M88" s="127">
        <f>IF(M81&lt;&gt;"Ready","Inputs pending",M82*M76)</f>
        <v>23.13204690909091</v>
      </c>
      <c r="N88" s="123" t="s">
        <v>715</v>
      </c>
      <c r="O88" s="117"/>
      <c r="P88" s="117"/>
      <c r="Q88" s="117"/>
      <c r="R88" s="117"/>
      <c r="S88" s="117"/>
    </row>
    <row r="89" spans="1:19" ht="26.5" x14ac:dyDescent="0.35">
      <c r="A89" s="117"/>
      <c r="B89" s="117"/>
      <c r="C89" s="117"/>
      <c r="D89" s="120" t="s">
        <v>733</v>
      </c>
      <c r="E89" s="120"/>
      <c r="F89" s="120"/>
      <c r="G89" s="120" t="s">
        <v>581</v>
      </c>
      <c r="H89" s="120"/>
      <c r="I89" s="122">
        <f>IF(I81&lt;&gt;"Ready","Inputs pending",I11+I85+I87)</f>
        <v>12.169244727272726</v>
      </c>
      <c r="J89" s="122"/>
      <c r="K89" s="122">
        <f>IF(K81&lt;&gt;"Ready","Inputs pending",K11+K85+K87)</f>
        <v>22.690033777777778</v>
      </c>
      <c r="L89" s="122"/>
      <c r="M89" s="122">
        <f>IF(M81&lt;&gt;"Ready","Inputs pending",M11+M85+M87)</f>
        <v>53.974776121212116</v>
      </c>
      <c r="N89" s="120" t="s">
        <v>734</v>
      </c>
      <c r="O89" s="117"/>
      <c r="P89" s="117"/>
      <c r="Q89" s="117"/>
      <c r="R89" s="117"/>
      <c r="S89" s="117"/>
    </row>
    <row r="90" spans="1:19" ht="26.5" x14ac:dyDescent="0.35">
      <c r="A90" s="117"/>
      <c r="B90" s="117"/>
      <c r="C90" s="117"/>
      <c r="D90" s="119" t="s">
        <v>735</v>
      </c>
      <c r="E90" s="119"/>
      <c r="F90" s="119"/>
      <c r="G90" s="119" t="s">
        <v>581</v>
      </c>
      <c r="H90" s="119"/>
      <c r="I90" s="121">
        <f>IF(I81&lt;&gt;"Ready","Inputs pending",I82*I79)</f>
        <v>16.515403558441559</v>
      </c>
      <c r="J90" s="121"/>
      <c r="K90" s="121">
        <f>IF(K81&lt;&gt;"Ready","Inputs pending",K82*K79)</f>
        <v>19.448600380952382</v>
      </c>
      <c r="L90" s="121"/>
      <c r="M90" s="121">
        <f>IF(M81&lt;&gt;"Ready","Inputs pending",M82*M79)</f>
        <v>42.408752666666672</v>
      </c>
      <c r="N90" s="119" t="s">
        <v>736</v>
      </c>
      <c r="O90" s="117"/>
      <c r="P90" s="117"/>
      <c r="Q90" s="117"/>
      <c r="R90" s="117"/>
      <c r="S90" s="117"/>
    </row>
    <row r="91" spans="1:19" x14ac:dyDescent="0.35">
      <c r="A91" s="117"/>
      <c r="B91" s="117"/>
      <c r="C91" s="117"/>
      <c r="D91" s="120" t="s">
        <v>737</v>
      </c>
      <c r="E91" s="120"/>
      <c r="F91" s="120"/>
      <c r="G91" s="120" t="s">
        <v>581</v>
      </c>
      <c r="H91" s="120"/>
      <c r="I91" s="122">
        <f>IF(I81&lt;&gt;"Ready","Inputs pending",I10)</f>
        <v>16.160663516935891</v>
      </c>
      <c r="J91" s="122"/>
      <c r="K91" s="122">
        <f>IF(K81&lt;&gt;"Ready","Inputs pending",K10)</f>
        <v>18.733963017517024</v>
      </c>
      <c r="L91" s="122"/>
      <c r="M91" s="122">
        <f>IF(M81&lt;&gt;"Ready","Inputs pending",M10)</f>
        <v>40.81294680764627</v>
      </c>
      <c r="N91" s="120" t="s">
        <v>682</v>
      </c>
      <c r="O91" s="117"/>
      <c r="P91" s="117"/>
      <c r="Q91" s="117"/>
      <c r="R91" s="117"/>
      <c r="S91" s="117"/>
    </row>
    <row r="92" spans="1:19" x14ac:dyDescent="0.35">
      <c r="A92" s="117"/>
      <c r="B92" s="117"/>
      <c r="C92" s="117"/>
      <c r="D92" s="123" t="s">
        <v>738</v>
      </c>
      <c r="E92" s="123"/>
      <c r="F92" s="123"/>
      <c r="G92" s="123" t="s">
        <v>581</v>
      </c>
      <c r="H92" s="123"/>
      <c r="I92" s="127">
        <f>IF(I81&lt;&gt;"Ready","Inputs pending",I90-I91)</f>
        <v>0.35474004150566785</v>
      </c>
      <c r="J92" s="127"/>
      <c r="K92" s="127">
        <f>IF(K81&lt;&gt;"Ready","Inputs pending",K90-K91)</f>
        <v>0.714637363435358</v>
      </c>
      <c r="L92" s="127"/>
      <c r="M92" s="127">
        <f>IF(M81&lt;&gt;"Ready","Inputs pending",M90-M91)</f>
        <v>1.5958058590204018</v>
      </c>
      <c r="N92" s="123" t="s">
        <v>684</v>
      </c>
      <c r="O92" s="117"/>
      <c r="P92" s="117"/>
      <c r="Q92" s="117"/>
      <c r="R92" s="117"/>
      <c r="S92" s="117"/>
    </row>
    <row r="93" spans="1:19" ht="26.5" x14ac:dyDescent="0.35">
      <c r="A93" s="117"/>
      <c r="B93" s="117"/>
      <c r="C93" s="117"/>
      <c r="D93" s="124" t="s">
        <v>739</v>
      </c>
      <c r="E93" s="124"/>
      <c r="F93" s="124"/>
      <c r="G93" s="124" t="s">
        <v>581</v>
      </c>
      <c r="H93" s="124"/>
      <c r="I93" s="127">
        <f>IF(I81&lt;&gt;"Ready","Inputs pending",I92-I88)</f>
        <v>-4.86065055589693</v>
      </c>
      <c r="J93" s="127"/>
      <c r="K93" s="127">
        <f>IF(K81&lt;&gt;"Ready","Inputs pending",K92-K88)</f>
        <v>-9.0096628270408328</v>
      </c>
      <c r="L93" s="127"/>
      <c r="M93" s="127">
        <f>IF(M81&lt;&gt;"Ready","Inputs pending",M92-M88)</f>
        <v>-21.536241050070508</v>
      </c>
      <c r="N93" s="124" t="s">
        <v>740</v>
      </c>
      <c r="O93" s="117"/>
      <c r="P93" s="117"/>
      <c r="Q93" s="117"/>
      <c r="R93" s="117"/>
      <c r="S93" s="117"/>
    </row>
    <row r="94" spans="1:19" x14ac:dyDescent="0.3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</row>
    <row r="95" spans="1:19" x14ac:dyDescent="0.3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</row>
    <row r="96" spans="1:19" x14ac:dyDescent="0.3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</row>
    <row r="97" spans="1:19" x14ac:dyDescent="0.3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</row>
    <row r="98" spans="1:19" x14ac:dyDescent="0.3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</row>
    <row r="99" spans="1:19" x14ac:dyDescent="0.3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</row>
    <row r="100" spans="1:19" x14ac:dyDescent="0.3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</row>
    <row r="101" spans="1:19" x14ac:dyDescent="0.3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</row>
    <row r="102" spans="1:19" ht="18" customHeight="1" x14ac:dyDescent="0.35">
      <c r="A102" s="117"/>
      <c r="B102" s="117"/>
      <c r="C102" s="117"/>
      <c r="D102" s="152" t="s">
        <v>741</v>
      </c>
      <c r="E102" s="152" t="s">
        <v>741</v>
      </c>
      <c r="F102" s="152" t="s">
        <v>741</v>
      </c>
      <c r="G102" s="152" t="s">
        <v>741</v>
      </c>
      <c r="H102" s="152" t="s">
        <v>741</v>
      </c>
      <c r="I102" s="152" t="s">
        <v>741</v>
      </c>
      <c r="J102" s="152" t="s">
        <v>741</v>
      </c>
      <c r="K102" s="152" t="s">
        <v>741</v>
      </c>
      <c r="L102" s="152" t="s">
        <v>741</v>
      </c>
      <c r="M102" s="152" t="s">
        <v>741</v>
      </c>
      <c r="N102" s="152" t="s">
        <v>741</v>
      </c>
      <c r="O102" s="117"/>
      <c r="P102" s="117"/>
      <c r="Q102" s="117"/>
      <c r="R102" s="117"/>
      <c r="S102" s="117"/>
    </row>
    <row r="103" spans="1:19" x14ac:dyDescent="0.3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</row>
    <row r="104" spans="1:19" ht="91.5" x14ac:dyDescent="0.35">
      <c r="A104" s="117"/>
      <c r="B104" s="117"/>
      <c r="C104" s="117"/>
      <c r="D104" s="128" t="s">
        <v>742</v>
      </c>
      <c r="E104" s="128" t="s">
        <v>743</v>
      </c>
      <c r="F104" s="128" t="s">
        <v>744</v>
      </c>
      <c r="G104" s="128" t="s">
        <v>745</v>
      </c>
      <c r="H104" s="128" t="s">
        <v>746</v>
      </c>
      <c r="I104" s="128" t="s">
        <v>742</v>
      </c>
      <c r="J104" s="128" t="s">
        <v>743</v>
      </c>
      <c r="K104" s="128" t="s">
        <v>744</v>
      </c>
      <c r="L104" s="128" t="s">
        <v>745</v>
      </c>
      <c r="M104" s="128" t="s">
        <v>746</v>
      </c>
      <c r="N104" s="117"/>
      <c r="O104" s="117"/>
      <c r="P104" s="117"/>
      <c r="Q104" s="117"/>
      <c r="R104" s="117"/>
      <c r="S104" s="117"/>
    </row>
    <row r="105" spans="1:19" x14ac:dyDescent="0.35">
      <c r="A105" s="117"/>
      <c r="B105" s="117"/>
      <c r="C105" s="117"/>
      <c r="D105" s="129" t="str">
        <f>IF(OR(I24="Ready",K24="Ready",M24="Ready"),"","Inputs pending")</f>
        <v/>
      </c>
      <c r="E105" s="130" t="str">
        <f>IF(OR(I24="Ready",K24="Ready",M24="Ready"),"",1)</f>
        <v/>
      </c>
      <c r="F105" s="130" t="str">
        <f>""</f>
        <v/>
      </c>
      <c r="G105" s="130" t="str">
        <f>""</f>
        <v/>
      </c>
      <c r="H105" s="130" t="str">
        <f>""</f>
        <v/>
      </c>
      <c r="I105" s="129" t="str">
        <f>IF(OR(I40="Ready",K40="Ready",M40="Ready"),"","Inputs pending")</f>
        <v/>
      </c>
      <c r="J105" s="130" t="str">
        <f>IF(OR(I40="Ready",K40="Ready",M40="Ready"),"",1)</f>
        <v/>
      </c>
      <c r="K105" s="130" t="str">
        <f>""</f>
        <v/>
      </c>
      <c r="L105" s="130" t="str">
        <f>""</f>
        <v/>
      </c>
      <c r="M105" s="130" t="str">
        <f>""</f>
        <v/>
      </c>
      <c r="N105" s="117"/>
      <c r="O105" s="117"/>
      <c r="P105" s="117"/>
      <c r="Q105" s="117"/>
      <c r="R105" s="117"/>
      <c r="S105" s="117"/>
    </row>
    <row r="106" spans="1:19" ht="26.5" x14ac:dyDescent="0.35">
      <c r="A106" s="117"/>
      <c r="B106" s="117"/>
      <c r="C106" s="117"/>
      <c r="D106" s="129" t="s">
        <v>747</v>
      </c>
      <c r="E106" s="130">
        <f>IF(I24&lt;&gt;"Ready","",I29)</f>
        <v>6.6013515660809787</v>
      </c>
      <c r="F106" s="130">
        <f>IF(I24&lt;&gt;"Ready","",I30)</f>
        <v>16.160663516935891</v>
      </c>
      <c r="G106" s="130" t="str">
        <f>IF(I24&lt;&gt;"Ready","",IF(I31&gt;0,I31,""))</f>
        <v/>
      </c>
      <c r="H106" s="130">
        <f>IF(I24&lt;&gt;"Ready","",IF(I31&lt;0,I31,""))</f>
        <v>-9.5593119508549123</v>
      </c>
      <c r="I106" s="129" t="s">
        <v>747</v>
      </c>
      <c r="J106" s="130">
        <f>IF(I40&lt;&gt;"Ready","",I41)</f>
        <v>6.6013515660809787</v>
      </c>
      <c r="K106" s="130">
        <f>IF(I40&lt;&gt;"Ready","",I42)</f>
        <v>16.160663516935891</v>
      </c>
      <c r="L106" s="130" t="str">
        <f>IF(I40&lt;&gt;"Ready","",IF(I43&gt;0,I43,""))</f>
        <v/>
      </c>
      <c r="M106" s="130">
        <f>IF(I40&lt;&gt;"Ready","",IF(I43&lt;0,I43,""))</f>
        <v>-9.5593119508549123</v>
      </c>
      <c r="N106" s="117"/>
      <c r="O106" s="117"/>
      <c r="P106" s="117"/>
      <c r="Q106" s="117"/>
      <c r="R106" s="117"/>
      <c r="S106" s="117"/>
    </row>
    <row r="107" spans="1:19" x14ac:dyDescent="0.35">
      <c r="A107" s="117"/>
      <c r="B107" s="117"/>
      <c r="C107" s="117"/>
      <c r="D107" s="129" t="s">
        <v>748</v>
      </c>
      <c r="E107" s="130">
        <f>IF(I24&lt;&gt;"Ready","",I26)</f>
        <v>6.6013515660809787</v>
      </c>
      <c r="F107" s="130">
        <f>IF(I24&lt;&gt;"Ready","",I27)</f>
        <v>11.222297662337663</v>
      </c>
      <c r="G107" s="130" t="str">
        <f>IF(I24&lt;&gt;"Ready","",IF(I28&gt;0,I28,""))</f>
        <v/>
      </c>
      <c r="H107" s="130">
        <f>IF(I24&lt;&gt;"Ready","",IF(I28&lt;0,I28,""))</f>
        <v>-4.6209460962566844</v>
      </c>
      <c r="I107" s="129" t="s">
        <v>749</v>
      </c>
      <c r="J107" s="130">
        <f>IF(I40&lt;&gt;"Ready","",I44)</f>
        <v>19.804054698242936</v>
      </c>
      <c r="K107" s="130">
        <f>IF(I40&lt;&gt;"Ready","",I45)</f>
        <v>16.160663516935891</v>
      </c>
      <c r="L107" s="130">
        <f>IF(I40&lt;&gt;"Ready","",IF(I46&gt;0,I46,""))</f>
        <v>3.6433911813070452</v>
      </c>
      <c r="M107" s="130" t="str">
        <f>IF(I40&lt;&gt;"Ready","",IF(I46&lt;0,I46,""))</f>
        <v/>
      </c>
      <c r="N107" s="117"/>
      <c r="O107" s="117"/>
      <c r="P107" s="117"/>
      <c r="Q107" s="117"/>
      <c r="R107" s="117"/>
      <c r="S107" s="117"/>
    </row>
    <row r="108" spans="1:19" ht="26.5" x14ac:dyDescent="0.35">
      <c r="A108" s="117"/>
      <c r="B108" s="117"/>
      <c r="C108" s="117"/>
      <c r="D108" s="129" t="s">
        <v>750</v>
      </c>
      <c r="E108" s="130">
        <f>IF(K24&lt;&gt;"Ready","",K29)</f>
        <v>21.970712586179253</v>
      </c>
      <c r="F108" s="130">
        <f>IF(K24&lt;&gt;"Ready","",K30)</f>
        <v>18.733963017517024</v>
      </c>
      <c r="G108" s="130">
        <f>IF(K24&lt;&gt;"Ready","",IF(K31&gt;0,K31,""))</f>
        <v>3.2367495686622298</v>
      </c>
      <c r="H108" s="130" t="str">
        <f>IF(K24&lt;&gt;"Ready","",IF(K31&lt;0,K31,""))</f>
        <v/>
      </c>
      <c r="I108" s="129" t="s">
        <v>750</v>
      </c>
      <c r="J108" s="130" t="str">
        <f>IF(K40&lt;&gt;"Ready","",K41)</f>
        <v/>
      </c>
      <c r="K108" s="130" t="str">
        <f>IF(K40&lt;&gt;"Ready","",K42)</f>
        <v/>
      </c>
      <c r="L108" s="130" t="str">
        <f>IF(K40&lt;&gt;"Ready","",IF(K43&gt;0,K43,""))</f>
        <v/>
      </c>
      <c r="M108" s="130" t="str">
        <f>IF(K40&lt;&gt;"Ready","",IF(K43&lt;0,K43,""))</f>
        <v/>
      </c>
      <c r="N108" s="117"/>
      <c r="O108" s="117"/>
      <c r="P108" s="117"/>
      <c r="Q108" s="117"/>
      <c r="R108" s="117"/>
      <c r="S108" s="117"/>
    </row>
    <row r="109" spans="1:19" x14ac:dyDescent="0.35">
      <c r="A109" s="117"/>
      <c r="B109" s="117"/>
      <c r="C109" s="117"/>
      <c r="D109" s="129" t="s">
        <v>751</v>
      </c>
      <c r="E109" s="130">
        <f>IF(K24&lt;&gt;"Ready","",K26)</f>
        <v>21.970712586179253</v>
      </c>
      <c r="F109" s="130">
        <f>IF(K24&lt;&gt;"Ready","",K27)</f>
        <v>19.773641327561329</v>
      </c>
      <c r="G109" s="130">
        <f>IF(K24&lt;&gt;"Ready","",IF(K28&gt;0,K28,""))</f>
        <v>2.1970712586179246</v>
      </c>
      <c r="H109" s="130" t="str">
        <f>IF(K24&lt;&gt;"Ready","",IF(K28&lt;0,K28,""))</f>
        <v/>
      </c>
      <c r="I109" s="129" t="s">
        <v>752</v>
      </c>
      <c r="J109" s="130" t="str">
        <f>IF(K40&lt;&gt;"Ready","",K44)</f>
        <v/>
      </c>
      <c r="K109" s="130" t="str">
        <f>IF(K40&lt;&gt;"Ready","",K45)</f>
        <v/>
      </c>
      <c r="L109" s="130" t="str">
        <f>IF(K40&lt;&gt;"Ready","",IF(K46&gt;0,K46,""))</f>
        <v/>
      </c>
      <c r="M109" s="130" t="str">
        <f>IF(K40&lt;&gt;"Ready","",IF(K46&lt;0,K46,""))</f>
        <v/>
      </c>
      <c r="N109" s="117"/>
      <c r="O109" s="117"/>
      <c r="P109" s="117"/>
      <c r="Q109" s="117"/>
      <c r="R109" s="117"/>
      <c r="S109" s="117"/>
    </row>
    <row r="110" spans="1:19" ht="26.5" x14ac:dyDescent="0.35">
      <c r="A110" s="117"/>
      <c r="B110" s="117"/>
      <c r="C110" s="117"/>
      <c r="D110" s="129" t="s">
        <v>753</v>
      </c>
      <c r="E110" s="130">
        <f>IF(M24&lt;&gt;"Ready","",M29)</f>
        <v>65.007273469387769</v>
      </c>
      <c r="F110" s="130">
        <f>IF(M24&lt;&gt;"Ready","",M30)</f>
        <v>40.81294680764627</v>
      </c>
      <c r="G110" s="130">
        <f>IF(M24&lt;&gt;"Ready","",IF(M31&gt;0,M31,""))</f>
        <v>24.194326661741499</v>
      </c>
      <c r="H110" s="130" t="str">
        <f>IF(M24&lt;&gt;"Ready","",IF(M31&lt;0,M31,""))</f>
        <v/>
      </c>
      <c r="I110" s="129" t="s">
        <v>753</v>
      </c>
      <c r="J110" s="130" t="str">
        <f>IF(M40&lt;&gt;"Ready","",M41)</f>
        <v/>
      </c>
      <c r="K110" s="130" t="str">
        <f>IF(M40&lt;&gt;"Ready","",M42)</f>
        <v/>
      </c>
      <c r="L110" s="130" t="str">
        <f>IF(M40&lt;&gt;"Ready","",IF(M43&gt;0,M43,""))</f>
        <v/>
      </c>
      <c r="M110" s="130" t="str">
        <f>IF(M40&lt;&gt;"Ready","",IF(M43&lt;0,M43,""))</f>
        <v/>
      </c>
      <c r="N110" s="117"/>
      <c r="O110" s="117"/>
      <c r="P110" s="117"/>
      <c r="Q110" s="117"/>
      <c r="R110" s="117"/>
      <c r="S110" s="117"/>
    </row>
    <row r="111" spans="1:19" x14ac:dyDescent="0.35">
      <c r="A111" s="117"/>
      <c r="B111" s="117"/>
      <c r="C111" s="117"/>
      <c r="D111" s="129" t="s">
        <v>754</v>
      </c>
      <c r="E111" s="130">
        <f>IF(M24&lt;&gt;"Ready","",M26)</f>
        <v>65.007273469387769</v>
      </c>
      <c r="F111" s="130">
        <f>IF(M24&lt;&gt;"Ready","",M27)</f>
        <v>45.505091428571433</v>
      </c>
      <c r="G111" s="130">
        <f>IF(M24&lt;&gt;"Ready","",IF(M28&gt;0,M28,""))</f>
        <v>19.502182040816336</v>
      </c>
      <c r="H111" s="130" t="str">
        <f>IF(M24&lt;&gt;"Ready","",IF(M28&lt;0,M28,""))</f>
        <v/>
      </c>
      <c r="I111" s="129" t="s">
        <v>755</v>
      </c>
      <c r="J111" s="130" t="str">
        <f>IF(M40&lt;&gt;"Ready","",M44)</f>
        <v/>
      </c>
      <c r="K111" s="130" t="str">
        <f>IF(M40&lt;&gt;"Ready","",M45)</f>
        <v/>
      </c>
      <c r="L111" s="130" t="str">
        <f>IF(M40&lt;&gt;"Ready","",IF(M46&gt;0,M46,""))</f>
        <v/>
      </c>
      <c r="M111" s="130" t="str">
        <f>IF(M40&lt;&gt;"Ready","",IF(M46&lt;0,M46,""))</f>
        <v/>
      </c>
      <c r="N111" s="117"/>
      <c r="O111" s="117"/>
      <c r="P111" s="117"/>
      <c r="Q111" s="117"/>
      <c r="R111" s="117"/>
      <c r="S111" s="117"/>
    </row>
    <row r="112" spans="1:19" x14ac:dyDescent="0.3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</row>
    <row r="113" spans="1:19" x14ac:dyDescent="0.3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</row>
    <row r="114" spans="1:19" ht="91.5" x14ac:dyDescent="0.35">
      <c r="A114" s="117"/>
      <c r="B114" s="117"/>
      <c r="C114" s="117"/>
      <c r="D114" s="128" t="s">
        <v>742</v>
      </c>
      <c r="E114" s="128" t="s">
        <v>743</v>
      </c>
      <c r="F114" s="128" t="s">
        <v>744</v>
      </c>
      <c r="G114" s="128" t="s">
        <v>745</v>
      </c>
      <c r="H114" s="128" t="s">
        <v>746</v>
      </c>
      <c r="I114" s="128" t="s">
        <v>742</v>
      </c>
      <c r="J114" s="128" t="s">
        <v>743</v>
      </c>
      <c r="K114" s="128" t="s">
        <v>744</v>
      </c>
      <c r="L114" s="128" t="s">
        <v>745</v>
      </c>
      <c r="M114" s="128" t="s">
        <v>746</v>
      </c>
      <c r="N114" s="117"/>
      <c r="O114" s="117"/>
      <c r="P114" s="117"/>
      <c r="Q114" s="117"/>
      <c r="R114" s="117"/>
      <c r="S114" s="117"/>
    </row>
    <row r="115" spans="1:19" x14ac:dyDescent="0.35">
      <c r="A115" s="117"/>
      <c r="B115" s="117"/>
      <c r="C115" s="117"/>
      <c r="D115" s="129" t="str">
        <f>IF(OR(I58="Ready",K58="Ready",M58="Ready"),"","Inputs pending")</f>
        <v/>
      </c>
      <c r="E115" s="130" t="str">
        <f>IF(OR(I58="Ready",K58="Ready",M58="Ready"),"",1)</f>
        <v/>
      </c>
      <c r="F115" s="130" t="str">
        <f>""</f>
        <v/>
      </c>
      <c r="G115" s="130" t="str">
        <f>""</f>
        <v/>
      </c>
      <c r="H115" s="130" t="str">
        <f>""</f>
        <v/>
      </c>
      <c r="I115" s="129" t="str">
        <f>IF(OR(I81="Ready",K81="Ready",M81="Ready"),"","Inputs pending")</f>
        <v/>
      </c>
      <c r="J115" s="130" t="str">
        <f>IF(OR(I81="Ready",K81="Ready",M81="Ready"),"",1)</f>
        <v/>
      </c>
      <c r="K115" s="130" t="str">
        <f>""</f>
        <v/>
      </c>
      <c r="L115" s="130" t="str">
        <f>""</f>
        <v/>
      </c>
      <c r="M115" s="130" t="str">
        <f>""</f>
        <v/>
      </c>
      <c r="N115" s="117"/>
      <c r="O115" s="117"/>
      <c r="P115" s="117"/>
      <c r="Q115" s="117"/>
      <c r="R115" s="117"/>
      <c r="S115" s="117"/>
    </row>
    <row r="116" spans="1:19" x14ac:dyDescent="0.35">
      <c r="A116" s="117"/>
      <c r="B116" s="117"/>
      <c r="C116" s="117"/>
      <c r="D116" s="129" t="s">
        <v>756</v>
      </c>
      <c r="E116" s="130">
        <f>IF(I58&lt;&gt;"Ready","",I65)</f>
        <v>16.658412545454549</v>
      </c>
      <c r="F116" s="130">
        <f>IF(I58&lt;&gt;"Ready","",I66)</f>
        <v>16.160663516935891</v>
      </c>
      <c r="G116" s="130">
        <f>IF(I58&lt;&gt;"Ready","",IF(I67&gt;0,I67,""))</f>
        <v>0.49774902851865832</v>
      </c>
      <c r="H116" s="130" t="str">
        <f>IF(I58&lt;&gt;"Ready","",IF(I67&lt;0,I67,""))</f>
        <v/>
      </c>
      <c r="I116" s="129" t="s">
        <v>757</v>
      </c>
      <c r="J116" s="130">
        <f>IF(I81&lt;&gt;"Ready","",I90)</f>
        <v>16.515403558441559</v>
      </c>
      <c r="K116" s="130">
        <f>IF(I81&lt;&gt;"Ready","",I91)</f>
        <v>16.160663516935891</v>
      </c>
      <c r="L116" s="130">
        <f>IF(I81&lt;&gt;"Ready","",IF(I92&gt;0,I92,""))</f>
        <v>0.35474004150566785</v>
      </c>
      <c r="M116" s="130" t="str">
        <f>IF(I81&lt;&gt;"Ready","",IF(I92&lt;0,I92,""))</f>
        <v/>
      </c>
      <c r="N116" s="117"/>
      <c r="O116" s="117"/>
      <c r="P116" s="117"/>
      <c r="Q116" s="117"/>
      <c r="R116" s="117"/>
      <c r="S116" s="117"/>
    </row>
    <row r="117" spans="1:19" ht="26.5" x14ac:dyDescent="0.35">
      <c r="A117" s="117"/>
      <c r="B117" s="117"/>
      <c r="C117" s="117"/>
      <c r="D117" s="129" t="s">
        <v>758</v>
      </c>
      <c r="E117" s="130">
        <f>IF(I58&lt;&gt;"Ready","",I59)</f>
        <v>15.865154805194807</v>
      </c>
      <c r="F117" s="130">
        <f>IF(I58&lt;&gt;"Ready","",I64)</f>
        <v>11.105608363636364</v>
      </c>
      <c r="G117" s="130">
        <f>IF(I58&lt;&gt;"Ready","",IF(I63&gt;0,I63,""))</f>
        <v>4.7595464415584416</v>
      </c>
      <c r="H117" s="130" t="str">
        <f>IF(I58&lt;&gt;"Ready","",IF(I63&lt;0,I63,""))</f>
        <v/>
      </c>
      <c r="I117" s="129" t="s">
        <v>758</v>
      </c>
      <c r="J117" s="130">
        <f>IF(I81&lt;&gt;"Ready","",I82)</f>
        <v>17.384635324675326</v>
      </c>
      <c r="K117" s="130">
        <f>IF(I81&lt;&gt;"Ready","",I89)</f>
        <v>12.169244727272726</v>
      </c>
      <c r="L117" s="130">
        <f>IF(I81&lt;&gt;"Ready","",IF(I88&gt;0,I88,""))</f>
        <v>5.2153905974025978</v>
      </c>
      <c r="M117" s="130" t="str">
        <f>IF(I81&lt;&gt;"Ready","",IF(I88&lt;0,I88,""))</f>
        <v/>
      </c>
      <c r="N117" s="117"/>
      <c r="O117" s="117"/>
      <c r="P117" s="117"/>
      <c r="Q117" s="117"/>
      <c r="R117" s="117"/>
      <c r="S117" s="117"/>
    </row>
    <row r="118" spans="1:19" x14ac:dyDescent="0.35">
      <c r="A118" s="117"/>
      <c r="B118" s="117"/>
      <c r="C118" s="117"/>
      <c r="D118" s="129" t="s">
        <v>759</v>
      </c>
      <c r="E118" s="130">
        <f>IF(K58&lt;&gt;"Ready","",K65)</f>
        <v>19.043343053391059</v>
      </c>
      <c r="F118" s="130">
        <f>IF(K58&lt;&gt;"Ready","",K66)</f>
        <v>18.733963017517024</v>
      </c>
      <c r="G118" s="130">
        <f>IF(K58&lt;&gt;"Ready","",IF(K67&gt;0,K67,""))</f>
        <v>0.30938003587403529</v>
      </c>
      <c r="H118" s="130" t="str">
        <f>IF(K58&lt;&gt;"Ready","",IF(K67&lt;0,K67,""))</f>
        <v/>
      </c>
      <c r="I118" s="129" t="s">
        <v>760</v>
      </c>
      <c r="J118" s="130">
        <f>IF(K81&lt;&gt;"Ready","",K90)</f>
        <v>19.448600380952382</v>
      </c>
      <c r="K118" s="130">
        <f>IF(K81&lt;&gt;"Ready","",K91)</f>
        <v>18.733963017517024</v>
      </c>
      <c r="L118" s="130">
        <f>IF(K81&lt;&gt;"Ready","",IF(K92&gt;0,K92,""))</f>
        <v>0.714637363435358</v>
      </c>
      <c r="M118" s="130" t="str">
        <f>IF(K81&lt;&gt;"Ready","",IF(K92&lt;0,K92,""))</f>
        <v/>
      </c>
      <c r="N118" s="117"/>
      <c r="O118" s="117"/>
      <c r="P118" s="117"/>
      <c r="Q118" s="117"/>
      <c r="R118" s="117"/>
      <c r="S118" s="117"/>
    </row>
    <row r="119" spans="1:19" ht="26.5" x14ac:dyDescent="0.35">
      <c r="A119" s="117"/>
      <c r="B119" s="117"/>
      <c r="C119" s="117"/>
      <c r="D119" s="129" t="s">
        <v>761</v>
      </c>
      <c r="E119" s="130">
        <f>IF(K58&lt;&gt;"Ready","",K59)</f>
        <v>29.297450851370858</v>
      </c>
      <c r="F119" s="130">
        <f>IF(K58&lt;&gt;"Ready","",K64)</f>
        <v>20.508215595959598</v>
      </c>
      <c r="G119" s="130">
        <f>IF(K58&lt;&gt;"Ready","",IF(K63&gt;0,K63,""))</f>
        <v>8.7892352554112563</v>
      </c>
      <c r="H119" s="130" t="str">
        <f>IF(K58&lt;&gt;"Ready","",IF(K63&lt;0,K63,""))</f>
        <v/>
      </c>
      <c r="I119" s="129" t="s">
        <v>761</v>
      </c>
      <c r="J119" s="130">
        <f>IF(K81&lt;&gt;"Ready","",K82)</f>
        <v>32.41433396825397</v>
      </c>
      <c r="K119" s="130">
        <f>IF(K81&lt;&gt;"Ready","",K89)</f>
        <v>22.690033777777778</v>
      </c>
      <c r="L119" s="130">
        <f>IF(K81&lt;&gt;"Ready","",IF(K88&gt;0,K88,""))</f>
        <v>9.7243001904761908</v>
      </c>
      <c r="M119" s="130" t="str">
        <f>IF(K81&lt;&gt;"Ready","",IF(K88&lt;0,K88,""))</f>
        <v/>
      </c>
      <c r="N119" s="117"/>
      <c r="O119" s="117"/>
      <c r="P119" s="117"/>
      <c r="Q119" s="117"/>
      <c r="R119" s="117"/>
      <c r="S119" s="117"/>
    </row>
    <row r="120" spans="1:19" x14ac:dyDescent="0.35">
      <c r="A120" s="117"/>
      <c r="B120" s="117"/>
      <c r="C120" s="117"/>
      <c r="D120" s="129" t="s">
        <v>762</v>
      </c>
      <c r="E120" s="130">
        <f>IF(M58&lt;&gt;"Ready","",M65)</f>
        <v>41.588769142857146</v>
      </c>
      <c r="F120" s="130">
        <f>IF(M58&lt;&gt;"Ready","",M66)</f>
        <v>40.81294680764627</v>
      </c>
      <c r="G120" s="130">
        <f>IF(M58&lt;&gt;"Ready","",IF(M67&gt;0,M67,""))</f>
        <v>0.77582233521087574</v>
      </c>
      <c r="H120" s="130" t="str">
        <f>IF(M58&lt;&gt;"Ready","",IF(M67&lt;0,M67,""))</f>
        <v/>
      </c>
      <c r="I120" s="129" t="s">
        <v>763</v>
      </c>
      <c r="J120" s="130">
        <f>IF(M81&lt;&gt;"Ready","",M90)</f>
        <v>42.408752666666672</v>
      </c>
      <c r="K120" s="130">
        <f>IF(M81&lt;&gt;"Ready","",M91)</f>
        <v>40.81294680764627</v>
      </c>
      <c r="L120" s="130">
        <f>IF(M81&lt;&gt;"Ready","",IF(M92&gt;0,M92,""))</f>
        <v>1.5958058590204018</v>
      </c>
      <c r="M120" s="130" t="str">
        <f>IF(M81&lt;&gt;"Ready","",IF(M92&lt;0,M92,""))</f>
        <v/>
      </c>
      <c r="N120" s="117"/>
      <c r="O120" s="117"/>
      <c r="P120" s="117"/>
      <c r="Q120" s="117"/>
      <c r="R120" s="117"/>
      <c r="S120" s="117"/>
    </row>
    <row r="121" spans="1:19" ht="26.5" x14ac:dyDescent="0.35">
      <c r="A121" s="117"/>
      <c r="B121" s="117"/>
      <c r="C121" s="117"/>
      <c r="D121" s="129" t="s">
        <v>764</v>
      </c>
      <c r="E121" s="130">
        <f>IF(M58&lt;&gt;"Ready","",M59)</f>
        <v>69.314615238095243</v>
      </c>
      <c r="F121" s="130">
        <f>IF(M58&lt;&gt;"Ready","",M64)</f>
        <v>48.520230666666663</v>
      </c>
      <c r="G121" s="130">
        <f>IF(M58&lt;&gt;"Ready","",IF(M63&gt;0,M63,""))</f>
        <v>20.794384571428573</v>
      </c>
      <c r="H121" s="130" t="str">
        <f>IF(M58&lt;&gt;"Ready","",IF(M63&lt;0,M63,""))</f>
        <v/>
      </c>
      <c r="I121" s="129" t="s">
        <v>764</v>
      </c>
      <c r="J121" s="130">
        <f>IF(M81&lt;&gt;"Ready","",M82)</f>
        <v>77.106823030303033</v>
      </c>
      <c r="K121" s="130">
        <f>IF(M81&lt;&gt;"Ready","",M89)</f>
        <v>53.974776121212116</v>
      </c>
      <c r="L121" s="130">
        <f>IF(M81&lt;&gt;"Ready","",IF(M88&gt;0,M88,""))</f>
        <v>23.13204690909091</v>
      </c>
      <c r="M121" s="130" t="str">
        <f>IF(M81&lt;&gt;"Ready","",IF(M88&lt;0,M88,""))</f>
        <v/>
      </c>
      <c r="N121" s="117"/>
      <c r="O121" s="117"/>
      <c r="P121" s="117"/>
      <c r="Q121" s="117"/>
      <c r="R121" s="117"/>
      <c r="S121" s="117"/>
    </row>
    <row r="122" spans="1:19" x14ac:dyDescent="0.3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</row>
    <row r="123" spans="1:19" x14ac:dyDescent="0.3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</row>
    <row r="124" spans="1:19" x14ac:dyDescent="0.3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</row>
    <row r="125" spans="1:19" x14ac:dyDescent="0.3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</row>
    <row r="126" spans="1:19" x14ac:dyDescent="0.3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</row>
    <row r="127" spans="1:19" x14ac:dyDescent="0.3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</row>
    <row r="128" spans="1:19" x14ac:dyDescent="0.3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</row>
    <row r="129" spans="1:19" x14ac:dyDescent="0.3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</row>
    <row r="130" spans="1:19" x14ac:dyDescent="0.3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</row>
  </sheetData>
  <mergeCells count="7">
    <mergeCell ref="D102:N102"/>
    <mergeCell ref="D4:N4"/>
    <mergeCell ref="D5:N5"/>
    <mergeCell ref="D18:N18"/>
    <mergeCell ref="D36:N36"/>
    <mergeCell ref="D52:N52"/>
    <mergeCell ref="D74:N74"/>
  </mergeCells>
  <pageMargins left="0.7" right="0.7" top="0.75" bottom="0.75" header="0.3" footer="0.3"/>
  <pageSetup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0"/>
  <sheetViews>
    <sheetView showGridLines="0" workbookViewId="0"/>
  </sheetViews>
  <sheetFormatPr defaultRowHeight="14.5" x14ac:dyDescent="0.35"/>
  <cols>
    <col min="1" max="1" width="39.26953125" customWidth="1"/>
    <col min="2" max="2" width="15" customWidth="1"/>
    <col min="3" max="5" width="15.7265625" customWidth="1"/>
    <col min="6" max="6" width="60.7265625" customWidth="1"/>
  </cols>
  <sheetData>
    <row r="1" spans="1:21" ht="16" x14ac:dyDescent="0.35">
      <c r="A1" s="156" t="s">
        <v>123</v>
      </c>
      <c r="B1" s="157"/>
      <c r="C1" s="157"/>
      <c r="D1" s="157"/>
      <c r="E1" s="157"/>
      <c r="F1" s="15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5">
      <c r="A2" s="6"/>
      <c r="B2" s="6"/>
      <c r="C2" s="6"/>
      <c r="D2" s="6"/>
      <c r="E2" s="6"/>
      <c r="F2" s="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35">
      <c r="A3" s="12" t="s">
        <v>124</v>
      </c>
      <c r="B3" s="12" t="s">
        <v>2</v>
      </c>
      <c r="C3" s="12" t="s">
        <v>125</v>
      </c>
      <c r="D3" s="12" t="s">
        <v>126</v>
      </c>
      <c r="E3" s="12" t="s">
        <v>127</v>
      </c>
      <c r="F3" s="12" t="s">
        <v>100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8" customHeight="1" x14ac:dyDescent="0.35">
      <c r="A4" s="53" t="s">
        <v>128</v>
      </c>
      <c r="B4" s="20" t="s">
        <v>29</v>
      </c>
      <c r="C4" s="32">
        <v>2026</v>
      </c>
      <c r="D4" s="32">
        <v>2036</v>
      </c>
      <c r="E4" s="32">
        <v>2050</v>
      </c>
      <c r="F4" s="20" t="s">
        <v>129</v>
      </c>
      <c r="G4" s="1"/>
      <c r="H4" s="4" t="s">
        <v>130</v>
      </c>
      <c r="I4" s="4" t="s">
        <v>131</v>
      </c>
      <c r="J4" s="4" t="s">
        <v>132</v>
      </c>
      <c r="K4" s="4" t="s">
        <v>133</v>
      </c>
      <c r="L4" s="4" t="s">
        <v>134</v>
      </c>
      <c r="M4" s="4" t="s">
        <v>135</v>
      </c>
      <c r="N4" s="4"/>
      <c r="O4" s="4"/>
      <c r="P4" s="4"/>
      <c r="Q4" s="4" t="s">
        <v>130</v>
      </c>
      <c r="R4" s="4" t="s">
        <v>131</v>
      </c>
      <c r="S4" s="4" t="s">
        <v>132</v>
      </c>
      <c r="T4" s="4" t="s">
        <v>134</v>
      </c>
      <c r="U4" s="4"/>
    </row>
    <row r="5" spans="1:21" ht="18" customHeight="1" x14ac:dyDescent="0.35">
      <c r="A5" s="54" t="s">
        <v>136</v>
      </c>
      <c r="B5" s="13" t="s">
        <v>8</v>
      </c>
      <c r="C5" s="29">
        <f>'Energy Cost Analysis'!I10</f>
        <v>6.52</v>
      </c>
      <c r="D5" s="29">
        <f>'Energy Cost Analysis'!K10</f>
        <v>6.52</v>
      </c>
      <c r="E5" s="29">
        <f>'Energy Cost Analysis'!M10</f>
        <v>6.52</v>
      </c>
      <c r="F5" s="13" t="s">
        <v>137</v>
      </c>
      <c r="G5" s="1"/>
      <c r="H5" s="4">
        <f>'Energy Cost Analysis'!I44</f>
        <v>8.7999999999999995E-2</v>
      </c>
      <c r="I5" s="4">
        <f>'Energy Cost Analysis'!I46</f>
        <v>7.6999999999999999E-2</v>
      </c>
      <c r="J5" s="4">
        <f>'Energy Cost Analysis'!I48</f>
        <v>0.122</v>
      </c>
      <c r="K5" s="4">
        <f>'Energy Cost Analysis'!I51</f>
        <v>5.3547828711609763E-2</v>
      </c>
      <c r="L5" s="4">
        <f>'Energy Cost Analysis'!I53</f>
        <v>9.8832401116467197E-2</v>
      </c>
      <c r="M5" s="4">
        <f>'Energy Cost Analysis'!I55</f>
        <v>9.3923250267415298E-2</v>
      </c>
      <c r="N5" s="4"/>
      <c r="O5" s="4"/>
      <c r="P5" s="4"/>
      <c r="Q5" s="4">
        <f>'Energy Cost Analysis'!I43</f>
        <v>3.4000000000000002E-2</v>
      </c>
      <c r="R5" s="4">
        <f>'Energy Cost Analysis'!I45</f>
        <v>3.2000000000000001E-2</v>
      </c>
      <c r="S5" s="4">
        <f>'Energy Cost Analysis'!I47</f>
        <v>7.2999999999999995E-2</v>
      </c>
      <c r="T5" s="4">
        <f>'Energy Cost Analysis'!I52</f>
        <v>3.1825100318251004E-2</v>
      </c>
      <c r="U5" s="4"/>
    </row>
    <row r="6" spans="1:21" ht="18" customHeight="1" x14ac:dyDescent="0.35">
      <c r="A6" s="53" t="s">
        <v>138</v>
      </c>
      <c r="B6" s="20" t="s">
        <v>13</v>
      </c>
      <c r="C6" s="29">
        <f>C7/C5</f>
        <v>5.0092024539877302</v>
      </c>
      <c r="D6" s="29">
        <f>D7/D5</f>
        <v>5.0092024539877302</v>
      </c>
      <c r="E6" s="29">
        <f>E7/E5</f>
        <v>5.0092024539877302</v>
      </c>
      <c r="F6" s="20" t="s">
        <v>137</v>
      </c>
      <c r="G6" s="1"/>
      <c r="H6" s="4">
        <f>'Energy Cost Analysis'!K44</f>
        <v>9.1999999999999998E-2</v>
      </c>
      <c r="I6" s="4">
        <f>'Energy Cost Analysis'!K46</f>
        <v>7.0000000000000007E-2</v>
      </c>
      <c r="J6" s="4">
        <f>'Energy Cost Analysis'!K48</f>
        <v>0.115</v>
      </c>
      <c r="K6" s="4">
        <f>'Energy Cost Analysis'!K51</f>
        <v>4.3344397452910015E-2</v>
      </c>
      <c r="L6" s="4">
        <f>'Energy Cost Analysis'!K53</f>
        <v>9.8832401116467197E-2</v>
      </c>
      <c r="M6" s="4">
        <f>'Energy Cost Analysis'!K55</f>
        <v>6.6339927436820226E-2</v>
      </c>
      <c r="N6" s="4"/>
      <c r="O6" s="4"/>
      <c r="P6" s="4"/>
      <c r="Q6" s="4">
        <f>'Energy Cost Analysis'!K43</f>
        <v>3.5999999999999997E-2</v>
      </c>
      <c r="R6" s="4">
        <f>'Energy Cost Analysis'!K45</f>
        <v>3.7999999999999999E-2</v>
      </c>
      <c r="S6" s="4">
        <f>'Energy Cost Analysis'!K47</f>
        <v>0.08</v>
      </c>
      <c r="T6" s="4">
        <f>'Energy Cost Analysis'!K52</f>
        <v>3.1825100318251004E-2</v>
      </c>
      <c r="U6" s="4"/>
    </row>
    <row r="7" spans="1:21" ht="18" customHeight="1" x14ac:dyDescent="0.35">
      <c r="A7" s="54" t="s">
        <v>139</v>
      </c>
      <c r="B7" s="13" t="s">
        <v>8</v>
      </c>
      <c r="C7" s="29">
        <f>'Energy Cost Analysis'!I11</f>
        <v>32.659999999999997</v>
      </c>
      <c r="D7" s="29">
        <f>'Energy Cost Analysis'!K11</f>
        <v>32.659999999999997</v>
      </c>
      <c r="E7" s="29">
        <f>'Energy Cost Analysis'!M11</f>
        <v>32.659999999999997</v>
      </c>
      <c r="F7" s="13" t="s">
        <v>140</v>
      </c>
      <c r="G7" s="1"/>
      <c r="H7" s="4">
        <f>'Energy Cost Analysis'!M44</f>
        <v>7.0999999999999994E-2</v>
      </c>
      <c r="I7" s="4">
        <f>'Energy Cost Analysis'!M46</f>
        <v>6.5000000000000002E-2</v>
      </c>
      <c r="J7" s="4">
        <f>'Energy Cost Analysis'!M48</f>
        <v>0.105</v>
      </c>
      <c r="K7" s="4">
        <f>'Energy Cost Analysis'!M51</f>
        <v>3.5288245201836696E-2</v>
      </c>
      <c r="L7" s="4">
        <f>'Energy Cost Analysis'!M53</f>
        <v>9.4764007934360142E-2</v>
      </c>
      <c r="M7" s="4">
        <f>'Energy Cost Analysis'!M55</f>
        <v>5.0943172900950524E-2</v>
      </c>
      <c r="N7" s="4"/>
      <c r="O7" s="4"/>
      <c r="P7" s="4"/>
      <c r="Q7" s="4">
        <f>'Energy Cost Analysis'!M43</f>
        <v>3.7999999999999999E-2</v>
      </c>
      <c r="R7" s="4">
        <f>'Energy Cost Analysis'!M45</f>
        <v>0.04</v>
      </c>
      <c r="S7" s="4">
        <f>'Energy Cost Analysis'!M47</f>
        <v>8.5000000000000006E-2</v>
      </c>
      <c r="T7" s="4">
        <f>'Energy Cost Analysis'!M52</f>
        <v>3.0441400304414001E-2</v>
      </c>
      <c r="U7" s="4"/>
    </row>
    <row r="8" spans="1:21" ht="18" customHeight="1" x14ac:dyDescent="0.35">
      <c r="A8" s="53" t="s">
        <v>141</v>
      </c>
      <c r="B8" s="20" t="s">
        <v>142</v>
      </c>
      <c r="C8" s="36">
        <v>1.34</v>
      </c>
      <c r="D8" s="36">
        <v>1.34</v>
      </c>
      <c r="E8" s="36">
        <v>1.34</v>
      </c>
      <c r="F8" s="20" t="s">
        <v>143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8" customHeight="1" x14ac:dyDescent="0.35">
      <c r="A9" s="54" t="s">
        <v>144</v>
      </c>
      <c r="B9" s="13" t="s">
        <v>37</v>
      </c>
      <c r="C9" s="34">
        <f>'Energy Cost Analysis'!I25</f>
        <v>0.20599999999999999</v>
      </c>
      <c r="D9" s="34">
        <f>'Energy Cost Analysis'!K25</f>
        <v>0.26</v>
      </c>
      <c r="E9" s="34">
        <f>'Energy Cost Analysis'!M25</f>
        <v>0.28000000000000003</v>
      </c>
      <c r="F9" s="13" t="s">
        <v>137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8" customHeight="1" x14ac:dyDescent="0.35">
      <c r="A10" s="53" t="s">
        <v>145</v>
      </c>
      <c r="B10" s="20" t="s">
        <v>146</v>
      </c>
      <c r="C10" s="36">
        <f>C8/C9</f>
        <v>6.5048543689320395</v>
      </c>
      <c r="D10" s="36">
        <f>D8/D9</f>
        <v>5.1538461538461542</v>
      </c>
      <c r="E10" s="36">
        <f>E8/E9</f>
        <v>4.7857142857142856</v>
      </c>
      <c r="F10" s="20" t="s">
        <v>147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8" customHeight="1" x14ac:dyDescent="0.35">
      <c r="A11" s="54" t="s">
        <v>148</v>
      </c>
      <c r="B11" s="13" t="s">
        <v>149</v>
      </c>
      <c r="C11" s="37">
        <v>1432.0087842634634</v>
      </c>
      <c r="D11" s="37">
        <v>881.15949109055327</v>
      </c>
      <c r="E11" s="37">
        <v>682.89635569171378</v>
      </c>
      <c r="F11" s="13" t="s">
        <v>150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8" customHeight="1" x14ac:dyDescent="0.35">
      <c r="A12" s="53" t="s">
        <v>151</v>
      </c>
      <c r="B12" s="20" t="s">
        <v>19</v>
      </c>
      <c r="C12" s="31">
        <f>C11/C10</f>
        <v>220.14463399871153</v>
      </c>
      <c r="D12" s="31">
        <f>D11/D10</f>
        <v>170.97124453995809</v>
      </c>
      <c r="E12" s="31">
        <f>E11/E10</f>
        <v>142.69476089080587</v>
      </c>
      <c r="F12" s="20" t="s">
        <v>152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8" customHeight="1" x14ac:dyDescent="0.35">
      <c r="A13" s="54" t="s">
        <v>153</v>
      </c>
      <c r="B13" s="13" t="s">
        <v>154</v>
      </c>
      <c r="C13" s="31">
        <v>20.395279725063983</v>
      </c>
      <c r="D13" s="31">
        <v>14.869318093880388</v>
      </c>
      <c r="E13" s="31">
        <v>12.763818693735924</v>
      </c>
      <c r="F13" s="13" t="s">
        <v>155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8" customHeight="1" x14ac:dyDescent="0.35">
      <c r="A14" s="53" t="s">
        <v>153</v>
      </c>
      <c r="B14" s="20" t="s">
        <v>34</v>
      </c>
      <c r="C14" s="31">
        <f>C13/C10</f>
        <v>3.1353937487784926</v>
      </c>
      <c r="D14" s="31">
        <f>D13/D10</f>
        <v>2.8850915704544033</v>
      </c>
      <c r="E14" s="31">
        <f>E13/E10</f>
        <v>2.6670665927209396</v>
      </c>
      <c r="F14" s="20" t="s">
        <v>156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8" customHeight="1" x14ac:dyDescent="0.35">
      <c r="A15" s="54" t="s">
        <v>157</v>
      </c>
      <c r="B15" s="13" t="s">
        <v>37</v>
      </c>
      <c r="C15" s="34">
        <f>'Energy Cost Analysis'!I26</f>
        <v>0.18745999999999999</v>
      </c>
      <c r="D15" s="34">
        <f>'Energy Cost Analysis'!K26</f>
        <v>0.2366</v>
      </c>
      <c r="E15" s="34">
        <f>'Energy Cost Analysis'!M26</f>
        <v>0.25480000000000003</v>
      </c>
      <c r="F15" s="13" t="s">
        <v>137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8" customHeight="1" x14ac:dyDescent="0.35">
      <c r="A16" s="53" t="s">
        <v>158</v>
      </c>
      <c r="B16" s="20" t="s">
        <v>44</v>
      </c>
      <c r="C16" s="34">
        <f>'Energy Cost Analysis'!I28</f>
        <v>7.0000000000000001E-3</v>
      </c>
      <c r="D16" s="34">
        <f>'Energy Cost Analysis'!K28</f>
        <v>5.0000000000000001E-3</v>
      </c>
      <c r="E16" s="34">
        <f>'Energy Cost Analysis'!M28</f>
        <v>2E-3</v>
      </c>
      <c r="F16" s="20" t="s">
        <v>137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8" customHeight="1" x14ac:dyDescent="0.35">
      <c r="A17" s="54" t="s">
        <v>159</v>
      </c>
      <c r="B17" s="13" t="s">
        <v>13</v>
      </c>
      <c r="C17" s="34">
        <f>IF(C16=0,1,(1-(1-C16)^30)/(30*C16))</f>
        <v>0.90482908323668809</v>
      </c>
      <c r="D17" s="34">
        <f>IF(D16=0,1,(1-(1-D16)^30)/(30*D16))</f>
        <v>0.93077205390202411</v>
      </c>
      <c r="E17" s="34">
        <f>IF(E16=0,1,(1-(1-E16)^30)/(30*E16))</f>
        <v>0.97153410070748847</v>
      </c>
      <c r="F17" s="13" t="s">
        <v>160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8" customHeight="1" x14ac:dyDescent="0.35">
      <c r="A18" s="53" t="s">
        <v>161</v>
      </c>
      <c r="B18" s="20" t="s">
        <v>13</v>
      </c>
      <c r="C18" s="34">
        <f>'Energy Cost Analysis'!I12</f>
        <v>0.9</v>
      </c>
      <c r="D18" s="34">
        <f>'Energy Cost Analysis'!K12</f>
        <v>0.9</v>
      </c>
      <c r="E18" s="34">
        <f>'Energy Cost Analysis'!M12</f>
        <v>0.9</v>
      </c>
      <c r="F18" s="20" t="s">
        <v>162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8" customHeight="1" x14ac:dyDescent="0.35">
      <c r="A19" s="54" t="s">
        <v>163</v>
      </c>
      <c r="B19" s="13" t="s">
        <v>164</v>
      </c>
      <c r="C19" s="52">
        <f>C5*365*C15*C18*C17</f>
        <v>363.29392333229328</v>
      </c>
      <c r="D19" s="52">
        <f>D5*365*D15*D18*D17</f>
        <v>471.67303103556327</v>
      </c>
      <c r="E19" s="52">
        <f>E5*365*E15*E18*E17</f>
        <v>530.20087749869936</v>
      </c>
      <c r="F19" s="13" t="s">
        <v>165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8" customHeight="1" x14ac:dyDescent="0.35">
      <c r="A20" s="53" t="s">
        <v>166</v>
      </c>
      <c r="B20" s="20" t="s">
        <v>44</v>
      </c>
      <c r="C20" s="34">
        <f>'Energy Cost Analysis'!I29</f>
        <v>5.6638023430845744E-2</v>
      </c>
      <c r="D20" s="34">
        <f>'Energy Cost Analysis'!K29</f>
        <v>5.6638023430845744E-2</v>
      </c>
      <c r="E20" s="34">
        <f>'Energy Cost Analysis'!M29</f>
        <v>5.6638023430845744E-2</v>
      </c>
      <c r="F20" s="20" t="s">
        <v>137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8" customHeight="1" x14ac:dyDescent="0.35">
      <c r="A21" s="54" t="s">
        <v>167</v>
      </c>
      <c r="B21" s="13" t="s">
        <v>66</v>
      </c>
      <c r="C21" s="38">
        <f>(C12*C20+C14)/C19</f>
        <v>4.2951312106313554E-2</v>
      </c>
      <c r="D21" s="38">
        <f>(D12*D20+D14)/D19</f>
        <v>2.6646774561426556E-2</v>
      </c>
      <c r="E21" s="38">
        <f>(E12*E20+E14)/E19</f>
        <v>2.0273477958436047E-2</v>
      </c>
      <c r="F21" s="13" t="s">
        <v>168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8" customHeight="1" x14ac:dyDescent="0.35">
      <c r="A22" s="53" t="s">
        <v>169</v>
      </c>
      <c r="B22" s="20" t="s">
        <v>66</v>
      </c>
      <c r="C22" s="38">
        <v>3.5979647833074481E-2</v>
      </c>
      <c r="D22" s="38">
        <v>2.1796831621958019E-2</v>
      </c>
      <c r="E22" s="38">
        <v>1.6454862310626615E-2</v>
      </c>
      <c r="F22" s="20" t="s">
        <v>170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8" customHeight="1" x14ac:dyDescent="0.35">
      <c r="A23" s="54" t="s">
        <v>171</v>
      </c>
      <c r="B23" s="13" t="s">
        <v>16</v>
      </c>
      <c r="C23" s="30">
        <f>'Energy Cost Analysis'!I13</f>
        <v>14.4</v>
      </c>
      <c r="D23" s="30">
        <f>'Energy Cost Analysis'!K13</f>
        <v>14.4</v>
      </c>
      <c r="E23" s="30">
        <f>'Energy Cost Analysis'!M13</f>
        <v>14.4</v>
      </c>
      <c r="F23" s="13" t="s">
        <v>172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8" customHeight="1" x14ac:dyDescent="0.35">
      <c r="A24" s="53" t="s">
        <v>173</v>
      </c>
      <c r="B24" s="20" t="s">
        <v>49</v>
      </c>
      <c r="C24" s="35">
        <f>'Energy Cost Analysis'!I30</f>
        <v>1659.3941388521046</v>
      </c>
      <c r="D24" s="35">
        <f>'Energy Cost Analysis'!K30</f>
        <v>1326.614717122475</v>
      </c>
      <c r="E24" s="35">
        <f>'Energy Cost Analysis'!M30</f>
        <v>1035.7717370242874</v>
      </c>
      <c r="F24" s="20" t="s">
        <v>137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8" customHeight="1" x14ac:dyDescent="0.35">
      <c r="A25" s="54" t="s">
        <v>174</v>
      </c>
      <c r="B25" s="13" t="s">
        <v>52</v>
      </c>
      <c r="C25" s="35">
        <f>'Energy Cost Analysis'!I31</f>
        <v>58.498223528848015</v>
      </c>
      <c r="D25" s="35">
        <f>'Energy Cost Analysis'!K31</f>
        <v>46.766830400264908</v>
      </c>
      <c r="E25" s="35">
        <f>'Energy Cost Analysis'!M31</f>
        <v>36.513812588987442</v>
      </c>
      <c r="F25" s="13" t="s">
        <v>137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8" customHeight="1" x14ac:dyDescent="0.35">
      <c r="A26" s="53" t="s">
        <v>175</v>
      </c>
      <c r="B26" s="20" t="s">
        <v>52</v>
      </c>
      <c r="C26" s="35">
        <f>'Energy Cost Analysis'!I32</f>
        <v>37.522397883081418</v>
      </c>
      <c r="D26" s="35">
        <f>'Energy Cost Analysis'!K32</f>
        <v>29.49619716805525</v>
      </c>
      <c r="E26" s="35">
        <f>'Energy Cost Analysis'!M32</f>
        <v>22.4814481108825</v>
      </c>
      <c r="F26" s="20" t="s">
        <v>137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8" customHeight="1" x14ac:dyDescent="0.35">
      <c r="A27" s="54" t="s">
        <v>176</v>
      </c>
      <c r="B27" s="13" t="s">
        <v>177</v>
      </c>
      <c r="C27" s="52">
        <f>C19*C10</f>
        <v>2363.1740643945295</v>
      </c>
      <c r="D27" s="52">
        <f>D19*D10</f>
        <v>2430.9302368755953</v>
      </c>
      <c r="E27" s="52">
        <f>E19*E10</f>
        <v>2537.3899137437752</v>
      </c>
      <c r="F27" s="13" t="s">
        <v>178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8" customHeight="1" x14ac:dyDescent="0.35">
      <c r="A28" s="53" t="s">
        <v>179</v>
      </c>
      <c r="B28" s="20" t="s">
        <v>66</v>
      </c>
      <c r="C28" s="38">
        <f>(C25+C26)*(C23/(4*'Energy Cost Analysis'!I33))/8760</f>
        <v>4.6424152173374422E-2</v>
      </c>
      <c r="D28" s="38">
        <f>(D25+D26)*(D23/(4*'Energy Cost Analysis'!K33))/8760</f>
        <v>3.6871729686536743E-2</v>
      </c>
      <c r="E28" s="38">
        <f>(E25+E26)*(E23/(4*'Energy Cost Analysis'!M33))/8760</f>
        <v>2.8523091393974187E-2</v>
      </c>
      <c r="F28" s="20" t="s">
        <v>180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8" customHeight="1" x14ac:dyDescent="0.35">
      <c r="A29" s="54" t="s">
        <v>181</v>
      </c>
      <c r="B29" s="13" t="s">
        <v>66</v>
      </c>
      <c r="C29" s="38">
        <f>C21*(1+(C23/24)*(1/'Energy Cost Analysis'!I33-1))+C28</f>
        <v>9.3923250267415298E-2</v>
      </c>
      <c r="D29" s="38">
        <f>D21*(1+(D23/24)*(1/'Energy Cost Analysis'!K33-1))+D28</f>
        <v>6.6339927436820226E-2</v>
      </c>
      <c r="E29" s="38">
        <f>E21*(1+(E23/24)*(1/'Energy Cost Analysis'!M33-1))+E28</f>
        <v>5.0943172900950524E-2</v>
      </c>
      <c r="F29" s="13" t="s">
        <v>182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8" customHeight="1" x14ac:dyDescent="0.35">
      <c r="A30" s="53" t="s">
        <v>183</v>
      </c>
      <c r="B30" s="20" t="s">
        <v>66</v>
      </c>
      <c r="C30" s="38">
        <v>2.9810344353494823E-2</v>
      </c>
      <c r="D30" s="38">
        <v>2.512145461901439E-2</v>
      </c>
      <c r="E30" s="38">
        <v>2.1348398370086782E-2</v>
      </c>
      <c r="F30" s="20" t="s">
        <v>184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8" customHeight="1" x14ac:dyDescent="0.35">
      <c r="A31" s="54" t="s">
        <v>185</v>
      </c>
      <c r="B31" s="13" t="s">
        <v>37</v>
      </c>
      <c r="C31" s="34">
        <v>0.46177000000000001</v>
      </c>
      <c r="D31" s="34">
        <v>0.47773979999999999</v>
      </c>
      <c r="E31" s="34">
        <v>0.48311999999999999</v>
      </c>
      <c r="F31" s="13" t="s">
        <v>184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8" customHeight="1" x14ac:dyDescent="0.35">
      <c r="A32" s="53" t="s">
        <v>186</v>
      </c>
      <c r="B32" s="20" t="s">
        <v>66</v>
      </c>
      <c r="C32" s="38">
        <f>(C25+C26)/(C31*8760)</f>
        <v>2.3737484358114944E-2</v>
      </c>
      <c r="D32" s="38">
        <f>(D25+D26)/(D31*8760)</f>
        <v>1.8222942833895625E-2</v>
      </c>
      <c r="E32" s="38">
        <f>(E25+E26)/(E31*8760)</f>
        <v>1.3939846831749911E-2</v>
      </c>
      <c r="F32" s="20" t="s">
        <v>187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8" customHeight="1" x14ac:dyDescent="0.35">
      <c r="A33" s="54" t="s">
        <v>188</v>
      </c>
      <c r="B33" s="13" t="s">
        <v>66</v>
      </c>
      <c r="C33" s="38">
        <f>C30+C32</f>
        <v>5.3547828711609763E-2</v>
      </c>
      <c r="D33" s="38">
        <f>D30+D32</f>
        <v>4.3344397452910015E-2</v>
      </c>
      <c r="E33" s="38">
        <f>E30+E32</f>
        <v>3.5288245201836696E-2</v>
      </c>
      <c r="F33" s="13" t="s">
        <v>189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8" customHeight="1" x14ac:dyDescent="0.35">
      <c r="A34" s="53" t="s">
        <v>190</v>
      </c>
      <c r="B34" s="20" t="s">
        <v>52</v>
      </c>
      <c r="C34" s="37">
        <v>92</v>
      </c>
      <c r="D34" s="37">
        <v>92</v>
      </c>
      <c r="E34" s="37">
        <v>88</v>
      </c>
      <c r="F34" s="20" t="s">
        <v>191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8" customHeight="1" x14ac:dyDescent="0.35">
      <c r="A35" s="54" t="s">
        <v>192</v>
      </c>
      <c r="B35" s="13" t="s">
        <v>37</v>
      </c>
      <c r="C35" s="34">
        <v>0.33</v>
      </c>
      <c r="D35" s="34">
        <v>0.33</v>
      </c>
      <c r="E35" s="34">
        <v>0.33</v>
      </c>
      <c r="F35" s="13" t="s">
        <v>193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8" customHeight="1" x14ac:dyDescent="0.35">
      <c r="A36" s="53" t="s">
        <v>194</v>
      </c>
      <c r="B36" s="20" t="s">
        <v>66</v>
      </c>
      <c r="C36" s="38">
        <f>C34/(C35*8760)</f>
        <v>3.1825100318251004E-2</v>
      </c>
      <c r="D36" s="38">
        <f>D34/(D35*8760)</f>
        <v>3.1825100318251004E-2</v>
      </c>
      <c r="E36" s="38">
        <f>E34/(E35*8760)</f>
        <v>3.0441400304414001E-2</v>
      </c>
      <c r="F36" s="20" t="s">
        <v>195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8" customHeight="1" x14ac:dyDescent="0.35">
      <c r="A37" s="54" t="s">
        <v>196</v>
      </c>
      <c r="B37" s="13" t="s">
        <v>111</v>
      </c>
      <c r="C37" s="38" t="s">
        <v>130</v>
      </c>
      <c r="D37" s="38" t="s">
        <v>130</v>
      </c>
      <c r="E37" s="38" t="s">
        <v>130</v>
      </c>
      <c r="F37" s="13" t="s">
        <v>197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8" customHeight="1" x14ac:dyDescent="0.35">
      <c r="A38" s="53" t="s">
        <v>198</v>
      </c>
      <c r="B38" s="20" t="s">
        <v>66</v>
      </c>
      <c r="C38" s="38">
        <f>MIN('Energy Cost Analysis'!I43,'Energy Cost Analysis'!I45,'Energy Cost Analysis'!I47,'Energy Cost Analysis'!I52)</f>
        <v>3.1825100318251004E-2</v>
      </c>
      <c r="D38" s="38">
        <f>MIN('Energy Cost Analysis'!K43,'Energy Cost Analysis'!K45,'Energy Cost Analysis'!K47,'Energy Cost Analysis'!K52)</f>
        <v>3.1825100318251004E-2</v>
      </c>
      <c r="E38" s="38">
        <f>MIN('Energy Cost Analysis'!M43,'Energy Cost Analysis'!M45,'Energy Cost Analysis'!M47,'Energy Cost Analysis'!M52)</f>
        <v>3.0441400304414001E-2</v>
      </c>
      <c r="F38" s="20" t="s">
        <v>199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8" customHeight="1" x14ac:dyDescent="0.35">
      <c r="A39" s="54" t="s">
        <v>200</v>
      </c>
      <c r="B39" s="13" t="s">
        <v>66</v>
      </c>
      <c r="C39" s="38">
        <f>MIN('Energy Cost Analysis'!I44,'Energy Cost Analysis'!I46,'Energy Cost Analysis'!I48,'Energy Cost Analysis'!I51,'Energy Cost Analysis'!I53,'Energy Cost Analysis'!I55)</f>
        <v>5.3547828711609763E-2</v>
      </c>
      <c r="D39" s="38">
        <f>MIN('Energy Cost Analysis'!K44,'Energy Cost Analysis'!K46,'Energy Cost Analysis'!K48,'Energy Cost Analysis'!K51,'Energy Cost Analysis'!K53,'Energy Cost Analysis'!K55)</f>
        <v>4.3344397452910015E-2</v>
      </c>
      <c r="E39" s="38">
        <f>MIN('Energy Cost Analysis'!M44,'Energy Cost Analysis'!M46,'Energy Cost Analysis'!M48,'Energy Cost Analysis'!M51,'Energy Cost Analysis'!M53,'Energy Cost Analysis'!M55)</f>
        <v>3.5288245201836696E-2</v>
      </c>
      <c r="F39" s="13" t="s">
        <v>201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8" customHeight="1" x14ac:dyDescent="0.35">
      <c r="A40" s="53" t="s">
        <v>202</v>
      </c>
      <c r="B40" s="20" t="s">
        <v>19</v>
      </c>
      <c r="C40" s="31">
        <f>'Energy Cost Analysis'!I14</f>
        <v>330</v>
      </c>
      <c r="D40" s="31">
        <f>'Energy Cost Analysis'!K14</f>
        <v>225</v>
      </c>
      <c r="E40" s="31">
        <f>'Energy Cost Analysis'!M14</f>
        <v>214</v>
      </c>
      <c r="F40" s="20" t="s">
        <v>137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8" customHeight="1" x14ac:dyDescent="0.35">
      <c r="A41" s="54" t="s">
        <v>203</v>
      </c>
      <c r="B41" s="13" t="s">
        <v>25</v>
      </c>
      <c r="C41" s="30">
        <f>'Energy Cost Analysis'!I16</f>
        <v>0</v>
      </c>
      <c r="D41" s="30">
        <f>'Energy Cost Analysis'!K16</f>
        <v>0</v>
      </c>
      <c r="E41" s="30">
        <f>'Energy Cost Analysis'!M16</f>
        <v>0</v>
      </c>
      <c r="F41" s="13" t="s">
        <v>137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8" customHeight="1" x14ac:dyDescent="0.35">
      <c r="A42" s="53" t="s">
        <v>204</v>
      </c>
      <c r="B42" s="20" t="s">
        <v>66</v>
      </c>
      <c r="C42" s="37">
        <f>'Energy Cost Analysis'!I37</f>
        <v>200</v>
      </c>
      <c r="D42" s="37">
        <f>'Energy Cost Analysis'!K37</f>
        <v>110</v>
      </c>
      <c r="E42" s="37">
        <f>'Energy Cost Analysis'!M37</f>
        <v>80</v>
      </c>
      <c r="F42" s="20" t="s">
        <v>137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8" customHeight="1" x14ac:dyDescent="0.35">
      <c r="A43" s="54" t="s">
        <v>205</v>
      </c>
      <c r="B43" s="13" t="s">
        <v>59</v>
      </c>
      <c r="C43" s="36">
        <f>'Energy Cost Analysis'!I34</f>
        <v>2.2999999999999998</v>
      </c>
      <c r="D43" s="36">
        <f>'Energy Cost Analysis'!K34</f>
        <v>2</v>
      </c>
      <c r="E43" s="36">
        <f>'Energy Cost Analysis'!M34</f>
        <v>1.8</v>
      </c>
      <c r="F43" s="13" t="s">
        <v>137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8" customHeight="1" x14ac:dyDescent="0.35">
      <c r="A44" s="53" t="s">
        <v>206</v>
      </c>
      <c r="B44" s="20" t="s">
        <v>37</v>
      </c>
      <c r="C44" s="34">
        <f>'Energy Cost Analysis'!I35</f>
        <v>0.21</v>
      </c>
      <c r="D44" s="34">
        <f>'Energy Cost Analysis'!K35</f>
        <v>0.24</v>
      </c>
      <c r="E44" s="34">
        <f>'Energy Cost Analysis'!M35</f>
        <v>0.26</v>
      </c>
      <c r="F44" s="20" t="s">
        <v>137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8" customHeight="1" x14ac:dyDescent="0.35">
      <c r="A45" s="54" t="s">
        <v>207</v>
      </c>
      <c r="B45" s="13" t="s">
        <v>44</v>
      </c>
      <c r="C45" s="34">
        <f>'Energy Cost Analysis'!I36</f>
        <v>1.4999999999999999E-2</v>
      </c>
      <c r="D45" s="34">
        <f>'Energy Cost Analysis'!K36</f>
        <v>0.01</v>
      </c>
      <c r="E45" s="34">
        <f>'Energy Cost Analysis'!M36</f>
        <v>7.0000000000000001E-3</v>
      </c>
      <c r="F45" s="13" t="s">
        <v>137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8" customHeight="1" x14ac:dyDescent="0.35">
      <c r="A46" s="53" t="s">
        <v>208</v>
      </c>
      <c r="B46" s="20" t="s">
        <v>22</v>
      </c>
      <c r="C46" s="30">
        <f>'Energy Cost Analysis'!I15</f>
        <v>5</v>
      </c>
      <c r="D46" s="30">
        <f>'Energy Cost Analysis'!K15</f>
        <v>30</v>
      </c>
      <c r="E46" s="30">
        <f>'Energy Cost Analysis'!M15</f>
        <v>30</v>
      </c>
      <c r="F46" s="20" t="s">
        <v>137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8" customHeight="1" x14ac:dyDescent="0.35">
      <c r="A47" s="54" t="s">
        <v>209</v>
      </c>
      <c r="B47" s="13" t="s">
        <v>13</v>
      </c>
      <c r="C47" s="34">
        <f>IF(C45=0,1,(1-(1-C45)^C46)/(C46*C45))</f>
        <v>0.97044663512499962</v>
      </c>
      <c r="D47" s="34">
        <f>IF(D45=0,1,(1-(1-D45)^D46)/(D46*D45))</f>
        <v>0.86766542203906638</v>
      </c>
      <c r="E47" s="34">
        <f>IF(E45=0,1,(1-(1-E45)^E46)/(E46*E45))</f>
        <v>0.90482908323668809</v>
      </c>
      <c r="F47" s="13" t="s">
        <v>210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8" customHeight="1" x14ac:dyDescent="0.35">
      <c r="A48" s="53" t="s">
        <v>211</v>
      </c>
      <c r="B48" s="20" t="s">
        <v>212</v>
      </c>
      <c r="C48" s="52">
        <f>C7*365*C44*C46*C47</f>
        <v>12147.027157294686</v>
      </c>
      <c r="D48" s="52">
        <f>D7*365*D44*D46*D47</f>
        <v>74472.139653015634</v>
      </c>
      <c r="E48" s="52">
        <f>E7*365*E44*E46*E47</f>
        <v>84133.740743178641</v>
      </c>
      <c r="F48" s="20" t="s">
        <v>213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8" customHeight="1" x14ac:dyDescent="0.35">
      <c r="A49" s="54" t="s">
        <v>214</v>
      </c>
      <c r="B49" s="13" t="s">
        <v>19</v>
      </c>
      <c r="C49" s="38">
        <f>C41*(C7/24*C44)*C42</f>
        <v>0</v>
      </c>
      <c r="D49" s="38">
        <f>D41*(D7/24*D44)*D42</f>
        <v>0</v>
      </c>
      <c r="E49" s="38">
        <f>E41*(E7/24*E44)*E42</f>
        <v>0</v>
      </c>
      <c r="F49" s="13" t="s">
        <v>215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8" customHeight="1" x14ac:dyDescent="0.35">
      <c r="A50" s="53" t="s">
        <v>216</v>
      </c>
      <c r="B50" s="20" t="s">
        <v>66</v>
      </c>
      <c r="C50" s="38">
        <f>(C40+C49)/C48</f>
        <v>2.7167141040087675E-2</v>
      </c>
      <c r="D50" s="38">
        <f>(D40+D49)/D48</f>
        <v>3.0212640733612785E-3</v>
      </c>
      <c r="E50" s="38">
        <f>(E40+E49)/E48</f>
        <v>2.5435692994234373E-3</v>
      </c>
      <c r="F50" s="20" t="s">
        <v>217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8" customHeight="1" x14ac:dyDescent="0.35">
      <c r="A51" s="54" t="s">
        <v>218</v>
      </c>
      <c r="B51" s="13" t="s">
        <v>104</v>
      </c>
      <c r="C51" s="37">
        <f>MAX(0,('Energy Cost Analysis'!I55-C50)*C48/C43)</f>
        <v>352.56011813029522</v>
      </c>
      <c r="D51" s="37">
        <f>MAX(0,('Energy Cost Analysis'!K55-D50)*D48/D43)</f>
        <v>2357.7381703228994</v>
      </c>
      <c r="E51" s="37">
        <f>MAX(0,('Energy Cost Analysis'!M55-E50)*E48/E43)</f>
        <v>2262.2442786019415</v>
      </c>
      <c r="F51" s="13" t="s">
        <v>219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8" customHeight="1" x14ac:dyDescent="0.35">
      <c r="A52" s="53" t="s">
        <v>220</v>
      </c>
      <c r="B52" s="20" t="s">
        <v>104</v>
      </c>
      <c r="C52" s="37">
        <f>MAX(0,('Energy Cost Analysis'!I57-C50)*C48/C43)</f>
        <v>146.99412767443815</v>
      </c>
      <c r="D52" s="37">
        <f>MAX(0,('Energy Cost Analysis'!K57-D50)*D48/D43)</f>
        <v>1339.706723233805</v>
      </c>
      <c r="E52" s="37">
        <f>MAX(0,('Energy Cost Analysis'!M57-E50)*E48/E43)</f>
        <v>1376.8220576565093</v>
      </c>
      <c r="F52" s="20" t="s">
        <v>221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8" customHeight="1" x14ac:dyDescent="0.35">
      <c r="A53" s="54" t="s">
        <v>222</v>
      </c>
      <c r="B53" s="13" t="s">
        <v>104</v>
      </c>
      <c r="C53" s="37">
        <f>MAX(0,(C39-C50)*C48/C43)</f>
        <v>139.32475198873388</v>
      </c>
      <c r="D53" s="37">
        <f>MAX(0,(D39-D50)*D48/D43)</f>
        <v>1501.4750101444649</v>
      </c>
      <c r="E53" s="37">
        <f>MAX(0,(E39-E50)*E48/E43)</f>
        <v>1530.5178183850255</v>
      </c>
      <c r="F53" s="13" t="s">
        <v>223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x14ac:dyDescent="0.35">
      <c r="A54" s="53" t="s">
        <v>224</v>
      </c>
      <c r="B54" s="20" t="s">
        <v>111</v>
      </c>
      <c r="C54" s="32" t="str">
        <f>INDEX($H$4:$M$4,1,MATCH(C39,$H$5:$M$5,0))</f>
        <v>Wind+BESS</v>
      </c>
      <c r="D54" s="32" t="str">
        <f>INDEX($H$4:$M$4,1,MATCH(D39,$H$6:$M$6,0))</f>
        <v>Wind+BESS</v>
      </c>
      <c r="E54" s="32" t="str">
        <f>INDEX($H$4:$M$4,1,MATCH(E39,$H$7:$M$7,0))</f>
        <v>Wind+BESS</v>
      </c>
      <c r="F54" s="20" t="s">
        <v>225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x14ac:dyDescent="0.35">
      <c r="A55" s="54" t="s">
        <v>226</v>
      </c>
      <c r="B55" s="13" t="s">
        <v>104</v>
      </c>
      <c r="C55" s="37">
        <f>MAX(0,(C38-C50)*C48/C43)</f>
        <v>24.600155586705529</v>
      </c>
      <c r="D55" s="37">
        <f>MAX(0,(D38-D50)*D48/D43)</f>
        <v>1072.5416576860105</v>
      </c>
      <c r="E55" s="37">
        <f>MAX(0,(E38-E50)*E48/E43)</f>
        <v>1303.9716005949372</v>
      </c>
      <c r="F55" s="13" t="s">
        <v>227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x14ac:dyDescent="0.35">
      <c r="A56" s="6" t="s">
        <v>228</v>
      </c>
      <c r="B56" s="6" t="s">
        <v>111</v>
      </c>
      <c r="C56" s="6" t="str">
        <f>INDEX($Q$4:$T$4,1,MATCH(C38,$Q$5:$T$5,0))</f>
        <v>Hydro</v>
      </c>
      <c r="D56" s="6" t="str">
        <f>INDEX($Q$4:$T$4,1,MATCH(D38,$Q$6:$T$6,0))</f>
        <v>Hydro</v>
      </c>
      <c r="E56" s="6" t="str">
        <f>INDEX($Q$4:$T$4,1,MATCH(E38,$Q$7:$T$7,0))</f>
        <v>Hydro</v>
      </c>
      <c r="F56" s="7" t="s">
        <v>225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x14ac:dyDescent="0.35">
      <c r="A57" s="6"/>
      <c r="B57" s="6"/>
      <c r="C57" s="6"/>
      <c r="D57" s="6"/>
      <c r="E57" s="6"/>
      <c r="F57" s="7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x14ac:dyDescent="0.35">
      <c r="A58" s="6"/>
      <c r="B58" s="6"/>
      <c r="C58" s="6"/>
      <c r="D58" s="6"/>
      <c r="E58" s="6"/>
      <c r="F58" s="7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x14ac:dyDescent="0.35">
      <c r="A59" s="6"/>
      <c r="B59" s="6"/>
      <c r="C59" s="6"/>
      <c r="D59" s="6"/>
      <c r="E59" s="6"/>
      <c r="F59" s="7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x14ac:dyDescent="0.35">
      <c r="A60" s="6"/>
      <c r="B60" s="6"/>
      <c r="C60" s="6"/>
      <c r="D60" s="6"/>
      <c r="E60" s="6"/>
      <c r="F60" s="7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x14ac:dyDescent="0.35">
      <c r="A61" s="5"/>
      <c r="B61" s="5"/>
      <c r="C61" s="5"/>
      <c r="D61" s="5"/>
      <c r="E61" s="5"/>
      <c r="F61" s="5"/>
    </row>
    <row r="62" spans="1:21" x14ac:dyDescent="0.35">
      <c r="A62" s="5"/>
      <c r="B62" s="5"/>
      <c r="C62" s="5"/>
      <c r="D62" s="5"/>
      <c r="E62" s="5"/>
      <c r="F62" s="5"/>
    </row>
    <row r="63" spans="1:21" x14ac:dyDescent="0.35">
      <c r="A63" s="5"/>
      <c r="B63" s="5"/>
      <c r="C63" s="5"/>
      <c r="D63" s="5"/>
      <c r="E63" s="5"/>
      <c r="F63" s="5"/>
    </row>
    <row r="64" spans="1:21" x14ac:dyDescent="0.35">
      <c r="A64" s="5"/>
      <c r="B64" s="5"/>
      <c r="C64" s="5"/>
      <c r="D64" s="5"/>
      <c r="E64" s="5"/>
      <c r="F64" s="5"/>
    </row>
    <row r="65" spans="1:6" x14ac:dyDescent="0.35">
      <c r="A65" s="5"/>
      <c r="B65" s="5"/>
      <c r="C65" s="5"/>
      <c r="D65" s="5"/>
      <c r="E65" s="5"/>
      <c r="F65" s="5"/>
    </row>
    <row r="66" spans="1:6" x14ac:dyDescent="0.35">
      <c r="A66" s="5"/>
      <c r="B66" s="5"/>
      <c r="C66" s="5"/>
      <c r="D66" s="5"/>
      <c r="E66" s="5"/>
      <c r="F66" s="5"/>
    </row>
    <row r="67" spans="1:6" x14ac:dyDescent="0.35">
      <c r="A67" s="5"/>
      <c r="B67" s="5"/>
      <c r="C67" s="5"/>
      <c r="D67" s="5"/>
      <c r="E67" s="5"/>
      <c r="F67" s="5"/>
    </row>
    <row r="68" spans="1:6" x14ac:dyDescent="0.35">
      <c r="A68" s="5"/>
      <c r="B68" s="5"/>
      <c r="C68" s="5"/>
      <c r="D68" s="5"/>
      <c r="E68" s="5"/>
      <c r="F68" s="5"/>
    </row>
    <row r="69" spans="1:6" x14ac:dyDescent="0.35">
      <c r="A69" s="5"/>
      <c r="B69" s="5"/>
      <c r="C69" s="5"/>
      <c r="D69" s="5"/>
      <c r="E69" s="5"/>
      <c r="F69" s="5"/>
    </row>
    <row r="70" spans="1:6" x14ac:dyDescent="0.35">
      <c r="A70" s="5"/>
      <c r="B70" s="5"/>
      <c r="C70" s="5"/>
      <c r="D70" s="5"/>
      <c r="E70" s="5"/>
      <c r="F70" s="5"/>
    </row>
  </sheetData>
  <mergeCells count="1">
    <mergeCell ref="A1:F1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"/>
  <sheetViews>
    <sheetView showGridLines="0" workbookViewId="0"/>
  </sheetViews>
  <sheetFormatPr defaultRowHeight="14.5" x14ac:dyDescent="0.35"/>
  <cols>
    <col min="1" max="1" width="26.453125" customWidth="1"/>
    <col min="2" max="2" width="35" customWidth="1"/>
    <col min="3" max="3" width="59.26953125" customWidth="1"/>
    <col min="4" max="4" width="63.54296875" customWidth="1"/>
    <col min="5" max="5" width="32.08984375" customWidth="1"/>
    <col min="6" max="6" width="23.54296875" customWidth="1"/>
    <col min="7" max="7" width="15" customWidth="1"/>
  </cols>
  <sheetData>
    <row r="1" spans="1:7" ht="16" x14ac:dyDescent="0.35">
      <c r="A1" s="156" t="s">
        <v>229</v>
      </c>
      <c r="B1" s="157"/>
      <c r="C1" s="157"/>
      <c r="D1" s="157"/>
      <c r="E1" s="157"/>
      <c r="F1" s="157"/>
      <c r="G1" s="159"/>
    </row>
    <row r="2" spans="1:7" x14ac:dyDescent="0.35">
      <c r="A2" s="6"/>
      <c r="B2" s="6"/>
      <c r="C2" s="6"/>
      <c r="D2" s="6"/>
      <c r="E2" s="6"/>
      <c r="F2" s="6"/>
      <c r="G2" s="6"/>
    </row>
    <row r="3" spans="1:7" x14ac:dyDescent="0.35">
      <c r="A3" s="12" t="s">
        <v>230</v>
      </c>
      <c r="B3" s="12" t="s">
        <v>231</v>
      </c>
      <c r="C3" s="12" t="s">
        <v>232</v>
      </c>
      <c r="D3" s="12" t="s">
        <v>233</v>
      </c>
      <c r="E3" s="12" t="s">
        <v>234</v>
      </c>
      <c r="F3" s="12" t="s">
        <v>235</v>
      </c>
      <c r="G3" s="12" t="s">
        <v>236</v>
      </c>
    </row>
    <row r="4" spans="1:7" ht="45" customHeight="1" x14ac:dyDescent="0.35">
      <c r="A4" s="55" t="s">
        <v>237</v>
      </c>
      <c r="B4" s="20" t="s">
        <v>238</v>
      </c>
      <c r="C4" s="57" t="s">
        <v>239</v>
      </c>
      <c r="D4" s="20" t="s">
        <v>240</v>
      </c>
      <c r="E4" s="20" t="s">
        <v>241</v>
      </c>
      <c r="F4" s="20" t="s">
        <v>242</v>
      </c>
      <c r="G4" s="20" t="s">
        <v>243</v>
      </c>
    </row>
    <row r="5" spans="1:7" ht="45" customHeight="1" x14ac:dyDescent="0.35">
      <c r="A5" s="56" t="s">
        <v>244</v>
      </c>
      <c r="B5" s="13" t="s">
        <v>238</v>
      </c>
      <c r="C5" s="58" t="s">
        <v>239</v>
      </c>
      <c r="D5" s="13" t="s">
        <v>245</v>
      </c>
      <c r="E5" s="13" t="s">
        <v>246</v>
      </c>
      <c r="F5" s="13" t="s">
        <v>242</v>
      </c>
      <c r="G5" s="13" t="s">
        <v>243</v>
      </c>
    </row>
    <row r="6" spans="1:7" ht="45" customHeight="1" x14ac:dyDescent="0.35">
      <c r="A6" s="55" t="s">
        <v>247</v>
      </c>
      <c r="B6" s="20" t="s">
        <v>248</v>
      </c>
      <c r="C6" s="57" t="s">
        <v>239</v>
      </c>
      <c r="D6" s="20" t="s">
        <v>249</v>
      </c>
      <c r="E6" s="20" t="s">
        <v>138</v>
      </c>
      <c r="F6" s="20" t="s">
        <v>250</v>
      </c>
      <c r="G6" s="20" t="s">
        <v>243</v>
      </c>
    </row>
    <row r="7" spans="1:7" ht="45" customHeight="1" x14ac:dyDescent="0.35">
      <c r="A7" s="56" t="s">
        <v>251</v>
      </c>
      <c r="B7" s="13" t="s">
        <v>238</v>
      </c>
      <c r="C7" s="58" t="s">
        <v>252</v>
      </c>
      <c r="D7" s="13" t="s">
        <v>253</v>
      </c>
      <c r="E7" s="13" t="s">
        <v>254</v>
      </c>
      <c r="F7" s="13" t="s">
        <v>255</v>
      </c>
      <c r="G7" s="13" t="s">
        <v>256</v>
      </c>
    </row>
    <row r="8" spans="1:7" ht="45" customHeight="1" x14ac:dyDescent="0.35">
      <c r="A8" s="55" t="s">
        <v>257</v>
      </c>
      <c r="B8" s="20" t="s">
        <v>238</v>
      </c>
      <c r="C8" s="57" t="s">
        <v>239</v>
      </c>
      <c r="D8" s="20" t="s">
        <v>258</v>
      </c>
      <c r="E8" s="20" t="s">
        <v>161</v>
      </c>
      <c r="F8" s="20" t="s">
        <v>259</v>
      </c>
      <c r="G8" s="20" t="s">
        <v>256</v>
      </c>
    </row>
    <row r="9" spans="1:7" ht="45" customHeight="1" x14ac:dyDescent="0.35">
      <c r="A9" s="56" t="s">
        <v>260</v>
      </c>
      <c r="B9" s="13" t="s">
        <v>238</v>
      </c>
      <c r="C9" s="58" t="s">
        <v>239</v>
      </c>
      <c r="D9" s="13" t="s">
        <v>261</v>
      </c>
      <c r="E9" s="13" t="s">
        <v>262</v>
      </c>
      <c r="F9" s="13" t="s">
        <v>259</v>
      </c>
      <c r="G9" s="13" t="s">
        <v>256</v>
      </c>
    </row>
    <row r="10" spans="1:7" ht="45" customHeight="1" x14ac:dyDescent="0.35">
      <c r="A10" s="55" t="s">
        <v>263</v>
      </c>
      <c r="B10" s="20" t="s">
        <v>238</v>
      </c>
      <c r="C10" s="57" t="s">
        <v>239</v>
      </c>
      <c r="D10" s="20" t="s">
        <v>264</v>
      </c>
      <c r="E10" s="20" t="s">
        <v>208</v>
      </c>
      <c r="F10" s="20" t="s">
        <v>259</v>
      </c>
      <c r="G10" s="20" t="s">
        <v>243</v>
      </c>
    </row>
    <row r="11" spans="1:7" ht="45" customHeight="1" x14ac:dyDescent="0.35">
      <c r="A11" s="56" t="s">
        <v>265</v>
      </c>
      <c r="B11" s="13" t="s">
        <v>238</v>
      </c>
      <c r="C11" s="58" t="s">
        <v>239</v>
      </c>
      <c r="D11" s="13" t="s">
        <v>266</v>
      </c>
      <c r="E11" s="13" t="s">
        <v>203</v>
      </c>
      <c r="F11" s="13" t="s">
        <v>259</v>
      </c>
      <c r="G11" s="13" t="s">
        <v>243</v>
      </c>
    </row>
    <row r="12" spans="1:7" ht="45" customHeight="1" x14ac:dyDescent="0.35">
      <c r="A12" s="55" t="s">
        <v>267</v>
      </c>
      <c r="B12" s="20" t="s">
        <v>268</v>
      </c>
      <c r="C12" s="57" t="s">
        <v>269</v>
      </c>
      <c r="D12" s="20" t="s">
        <v>270</v>
      </c>
      <c r="E12" s="20" t="s">
        <v>271</v>
      </c>
      <c r="F12" s="20" t="s">
        <v>272</v>
      </c>
      <c r="G12" s="20" t="s">
        <v>256</v>
      </c>
    </row>
    <row r="13" spans="1:7" ht="45" customHeight="1" x14ac:dyDescent="0.35">
      <c r="A13" s="56" t="s">
        <v>273</v>
      </c>
      <c r="B13" s="13" t="s">
        <v>274</v>
      </c>
      <c r="C13" s="58" t="s">
        <v>275</v>
      </c>
      <c r="D13" s="13" t="s">
        <v>276</v>
      </c>
      <c r="E13" s="13" t="s">
        <v>277</v>
      </c>
      <c r="F13" s="13" t="s">
        <v>278</v>
      </c>
      <c r="G13" s="13" t="s">
        <v>243</v>
      </c>
    </row>
    <row r="14" spans="1:7" ht="45" customHeight="1" x14ac:dyDescent="0.35">
      <c r="A14" s="55" t="s">
        <v>279</v>
      </c>
      <c r="B14" s="20" t="s">
        <v>280</v>
      </c>
      <c r="C14" s="57" t="s">
        <v>281</v>
      </c>
      <c r="D14" s="20" t="s">
        <v>282</v>
      </c>
      <c r="E14" s="20" t="s">
        <v>283</v>
      </c>
      <c r="F14" s="20" t="s">
        <v>284</v>
      </c>
      <c r="G14" s="20" t="s">
        <v>243</v>
      </c>
    </row>
    <row r="15" spans="1:7" ht="45" customHeight="1" x14ac:dyDescent="0.35">
      <c r="A15" s="56" t="s">
        <v>285</v>
      </c>
      <c r="B15" s="13" t="s">
        <v>286</v>
      </c>
      <c r="C15" s="58" t="s">
        <v>287</v>
      </c>
      <c r="D15" s="13" t="s">
        <v>288</v>
      </c>
      <c r="E15" s="13" t="s">
        <v>289</v>
      </c>
      <c r="F15" s="13" t="s">
        <v>278</v>
      </c>
      <c r="G15" s="13" t="s">
        <v>243</v>
      </c>
    </row>
    <row r="16" spans="1:7" ht="45" customHeight="1" x14ac:dyDescent="0.35">
      <c r="A16" s="55" t="s">
        <v>290</v>
      </c>
      <c r="B16" s="20" t="s">
        <v>291</v>
      </c>
      <c r="C16" s="57" t="s">
        <v>292</v>
      </c>
      <c r="D16" s="20" t="s">
        <v>293</v>
      </c>
      <c r="E16" s="20" t="s">
        <v>294</v>
      </c>
      <c r="F16" s="20" t="s">
        <v>278</v>
      </c>
      <c r="G16" s="20" t="s">
        <v>243</v>
      </c>
    </row>
    <row r="17" spans="1:7" ht="45" customHeight="1" x14ac:dyDescent="0.35">
      <c r="A17" s="56" t="s">
        <v>295</v>
      </c>
      <c r="B17" s="13" t="s">
        <v>296</v>
      </c>
      <c r="C17" s="58" t="s">
        <v>297</v>
      </c>
      <c r="D17" s="13" t="s">
        <v>298</v>
      </c>
      <c r="E17" s="13" t="s">
        <v>299</v>
      </c>
      <c r="F17" s="13" t="s">
        <v>278</v>
      </c>
      <c r="G17" s="13" t="s">
        <v>243</v>
      </c>
    </row>
    <row r="18" spans="1:7" ht="45" customHeight="1" x14ac:dyDescent="0.35">
      <c r="A18" s="55" t="s">
        <v>300</v>
      </c>
      <c r="B18" s="20" t="s">
        <v>301</v>
      </c>
      <c r="C18" s="57" t="s">
        <v>302</v>
      </c>
      <c r="D18" s="20" t="s">
        <v>303</v>
      </c>
      <c r="E18" s="20" t="s">
        <v>304</v>
      </c>
      <c r="F18" s="20" t="s">
        <v>305</v>
      </c>
      <c r="G18" s="20" t="s">
        <v>256</v>
      </c>
    </row>
    <row r="19" spans="1:7" ht="45" customHeight="1" x14ac:dyDescent="0.35">
      <c r="A19" s="56" t="s">
        <v>306</v>
      </c>
      <c r="B19" s="13" t="s">
        <v>307</v>
      </c>
      <c r="C19" s="58" t="s">
        <v>308</v>
      </c>
      <c r="D19" s="13" t="s">
        <v>309</v>
      </c>
      <c r="E19" s="13" t="s">
        <v>310</v>
      </c>
      <c r="F19" s="13" t="s">
        <v>284</v>
      </c>
      <c r="G19" s="13" t="s">
        <v>243</v>
      </c>
    </row>
    <row r="20" spans="1:7" ht="45" customHeight="1" x14ac:dyDescent="0.35">
      <c r="A20" s="55" t="s">
        <v>311</v>
      </c>
      <c r="B20" s="20" t="s">
        <v>312</v>
      </c>
      <c r="C20" s="57" t="s">
        <v>313</v>
      </c>
      <c r="D20" s="20" t="s">
        <v>314</v>
      </c>
      <c r="E20" s="20" t="s">
        <v>315</v>
      </c>
      <c r="F20" s="20" t="s">
        <v>316</v>
      </c>
      <c r="G20" s="20" t="s">
        <v>256</v>
      </c>
    </row>
    <row r="21" spans="1:7" ht="45" customHeight="1" x14ac:dyDescent="0.35">
      <c r="A21" s="56" t="s">
        <v>317</v>
      </c>
      <c r="B21" s="13" t="s">
        <v>318</v>
      </c>
      <c r="C21" s="58" t="s">
        <v>319</v>
      </c>
      <c r="D21" s="13" t="s">
        <v>320</v>
      </c>
      <c r="E21" s="13" t="s">
        <v>321</v>
      </c>
      <c r="F21" s="13" t="s">
        <v>322</v>
      </c>
      <c r="G21" s="13" t="s">
        <v>256</v>
      </c>
    </row>
    <row r="22" spans="1:7" ht="45" customHeight="1" x14ac:dyDescent="0.35">
      <c r="A22" s="55" t="s">
        <v>323</v>
      </c>
      <c r="B22" s="20" t="s">
        <v>324</v>
      </c>
      <c r="C22" s="57" t="s">
        <v>325</v>
      </c>
      <c r="D22" s="20" t="s">
        <v>326</v>
      </c>
      <c r="E22" s="20" t="s">
        <v>327</v>
      </c>
      <c r="F22" s="20" t="s">
        <v>328</v>
      </c>
      <c r="G22" s="20" t="s">
        <v>256</v>
      </c>
    </row>
    <row r="23" spans="1:7" ht="45" customHeight="1" x14ac:dyDescent="0.35">
      <c r="A23" s="56" t="s">
        <v>329</v>
      </c>
      <c r="B23" s="13" t="s">
        <v>330</v>
      </c>
      <c r="C23" s="58" t="s">
        <v>331</v>
      </c>
      <c r="D23" s="13" t="s">
        <v>332</v>
      </c>
      <c r="E23" s="13" t="s">
        <v>333</v>
      </c>
      <c r="F23" s="13" t="s">
        <v>284</v>
      </c>
      <c r="G23" s="13" t="s">
        <v>243</v>
      </c>
    </row>
    <row r="24" spans="1:7" ht="45" customHeight="1" x14ac:dyDescent="0.35">
      <c r="A24" s="55" t="s">
        <v>334</v>
      </c>
      <c r="B24" s="20" t="s">
        <v>335</v>
      </c>
      <c r="C24" s="57" t="s">
        <v>336</v>
      </c>
      <c r="D24" s="20" t="s">
        <v>337</v>
      </c>
      <c r="E24" s="20" t="s">
        <v>338</v>
      </c>
      <c r="F24" s="20" t="s">
        <v>339</v>
      </c>
      <c r="G24" s="20" t="s">
        <v>243</v>
      </c>
    </row>
    <row r="25" spans="1:7" ht="45" customHeight="1" x14ac:dyDescent="0.35">
      <c r="A25" s="56" t="s">
        <v>340</v>
      </c>
      <c r="B25" s="13" t="s">
        <v>341</v>
      </c>
      <c r="C25" s="58" t="s">
        <v>342</v>
      </c>
      <c r="D25" s="13" t="s">
        <v>343</v>
      </c>
      <c r="E25" s="13" t="s">
        <v>344</v>
      </c>
      <c r="F25" s="13" t="s">
        <v>345</v>
      </c>
      <c r="G25" s="13" t="s">
        <v>256</v>
      </c>
    </row>
    <row r="26" spans="1:7" ht="45" customHeight="1" x14ac:dyDescent="0.35">
      <c r="A26" s="55" t="s">
        <v>346</v>
      </c>
      <c r="B26" s="20" t="s">
        <v>347</v>
      </c>
      <c r="C26" s="57" t="s">
        <v>348</v>
      </c>
      <c r="D26" s="20" t="s">
        <v>349</v>
      </c>
      <c r="E26" s="20" t="s">
        <v>350</v>
      </c>
      <c r="F26" s="20" t="s">
        <v>351</v>
      </c>
      <c r="G26" s="20" t="s">
        <v>256</v>
      </c>
    </row>
    <row r="27" spans="1:7" ht="45" customHeight="1" x14ac:dyDescent="0.35">
      <c r="A27" s="6"/>
      <c r="B27" s="6"/>
      <c r="C27" s="7"/>
      <c r="D27" s="7"/>
      <c r="E27" s="7"/>
      <c r="F27" s="7"/>
      <c r="G27" s="7"/>
    </row>
    <row r="28" spans="1:7" ht="45" customHeight="1" x14ac:dyDescent="0.35">
      <c r="A28" s="6"/>
      <c r="B28" s="6"/>
      <c r="C28" s="7"/>
      <c r="D28" s="7"/>
      <c r="E28" s="7"/>
      <c r="F28" s="7"/>
      <c r="G28" s="7"/>
    </row>
    <row r="29" spans="1:7" ht="45" customHeight="1" x14ac:dyDescent="0.35">
      <c r="A29" s="6"/>
      <c r="B29" s="6"/>
      <c r="C29" s="7"/>
      <c r="D29" s="7"/>
      <c r="E29" s="7"/>
      <c r="F29" s="7"/>
      <c r="G29" s="7"/>
    </row>
    <row r="30" spans="1:7" ht="45" customHeight="1" x14ac:dyDescent="0.35">
      <c r="A30" s="6"/>
      <c r="B30" s="6"/>
      <c r="C30" s="7"/>
      <c r="D30" s="7"/>
      <c r="E30" s="7"/>
      <c r="F30" s="7"/>
      <c r="G30" s="7"/>
    </row>
    <row r="31" spans="1:7" ht="45" customHeight="1" x14ac:dyDescent="0.35">
      <c r="A31" s="6"/>
      <c r="B31" s="6"/>
      <c r="C31" s="7"/>
      <c r="D31" s="7"/>
      <c r="E31" s="7"/>
      <c r="F31" s="7"/>
      <c r="G31" s="7"/>
    </row>
    <row r="32" spans="1:7" ht="45" customHeight="1" x14ac:dyDescent="0.35">
      <c r="A32" s="6"/>
      <c r="B32" s="6"/>
      <c r="C32" s="7"/>
      <c r="D32" s="7"/>
      <c r="E32" s="7"/>
      <c r="F32" s="7"/>
      <c r="G32" s="7"/>
    </row>
    <row r="33" spans="1:7" ht="45" customHeight="1" x14ac:dyDescent="0.35">
      <c r="A33" s="6"/>
      <c r="B33" s="6"/>
      <c r="C33" s="7"/>
      <c r="D33" s="7"/>
      <c r="E33" s="7"/>
      <c r="F33" s="7"/>
      <c r="G33" s="7"/>
    </row>
    <row r="34" spans="1:7" ht="45" customHeight="1" x14ac:dyDescent="0.35">
      <c r="A34" s="6"/>
      <c r="B34" s="6"/>
      <c r="C34" s="7"/>
      <c r="D34" s="7"/>
      <c r="E34" s="7"/>
      <c r="F34" s="7"/>
      <c r="G34" s="7"/>
    </row>
    <row r="35" spans="1:7" ht="45" customHeight="1" x14ac:dyDescent="0.35">
      <c r="A35" s="6"/>
      <c r="B35" s="6"/>
      <c r="C35" s="7"/>
      <c r="D35" s="7"/>
      <c r="E35" s="7"/>
      <c r="F35" s="7"/>
      <c r="G35" s="7"/>
    </row>
    <row r="36" spans="1:7" ht="45" customHeight="1" x14ac:dyDescent="0.35">
      <c r="A36" s="1"/>
      <c r="B36" s="1"/>
      <c r="C36" s="2"/>
      <c r="D36" s="2"/>
      <c r="E36" s="2"/>
      <c r="F36" s="2"/>
      <c r="G36" s="2"/>
    </row>
    <row r="37" spans="1:7" ht="45" customHeight="1" x14ac:dyDescent="0.35">
      <c r="A37" s="1"/>
      <c r="B37" s="1"/>
      <c r="C37" s="2"/>
      <c r="D37" s="2"/>
      <c r="E37" s="2"/>
      <c r="F37" s="2"/>
      <c r="G37" s="2"/>
    </row>
    <row r="38" spans="1:7" ht="45" customHeight="1" x14ac:dyDescent="0.35">
      <c r="A38" s="1"/>
      <c r="B38" s="1"/>
      <c r="C38" s="2"/>
      <c r="D38" s="2"/>
      <c r="E38" s="2"/>
      <c r="F38" s="2"/>
      <c r="G38" s="2"/>
    </row>
    <row r="39" spans="1:7" ht="45" customHeight="1" x14ac:dyDescent="0.35">
      <c r="A39" s="1"/>
      <c r="B39" s="1"/>
      <c r="C39" s="2"/>
      <c r="D39" s="2"/>
      <c r="E39" s="2"/>
      <c r="F39" s="2"/>
      <c r="G39" s="2"/>
    </row>
    <row r="40" spans="1:7" ht="45" customHeight="1" x14ac:dyDescent="0.35">
      <c r="A40" s="1"/>
      <c r="B40" s="1"/>
      <c r="C40" s="2"/>
      <c r="D40" s="2"/>
      <c r="E40" s="2"/>
      <c r="F40" s="2"/>
      <c r="G40" s="2"/>
    </row>
  </sheetData>
  <mergeCells count="1">
    <mergeCell ref="A1:G1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0"/>
  <sheetViews>
    <sheetView showGridLines="0" workbookViewId="0"/>
  </sheetViews>
  <sheetFormatPr defaultRowHeight="14.5" x14ac:dyDescent="0.35"/>
  <cols>
    <col min="1" max="1" width="9.26953125" customWidth="1"/>
    <col min="2" max="2" width="36.453125" customWidth="1"/>
    <col min="3" max="4" width="12.81640625" customWidth="1"/>
    <col min="5" max="5" width="12.08984375" customWidth="1"/>
    <col min="6" max="6" width="23.54296875" customWidth="1"/>
    <col min="7" max="9" width="50.7265625" customWidth="1"/>
    <col min="10" max="10" width="12.08984375" customWidth="1"/>
    <col min="11" max="11" width="30.7265625" customWidth="1"/>
  </cols>
  <sheetData>
    <row r="1" spans="1:11" ht="16" x14ac:dyDescent="0.35">
      <c r="A1" s="156" t="s">
        <v>352</v>
      </c>
      <c r="B1" s="157"/>
      <c r="C1" s="157"/>
      <c r="D1" s="157"/>
      <c r="E1" s="157"/>
      <c r="F1" s="157"/>
      <c r="G1" s="157"/>
      <c r="H1" s="157"/>
      <c r="I1" s="157"/>
      <c r="J1" s="157"/>
      <c r="K1" s="159"/>
    </row>
    <row r="2" spans="1:11" x14ac:dyDescent="0.3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</row>
    <row r="3" spans="1:11" x14ac:dyDescent="0.35">
      <c r="A3" s="12" t="s">
        <v>353</v>
      </c>
      <c r="B3" s="12" t="s">
        <v>354</v>
      </c>
      <c r="C3" s="12" t="s">
        <v>117</v>
      </c>
      <c r="D3" s="12" t="s">
        <v>355</v>
      </c>
      <c r="E3" s="12" t="s">
        <v>2</v>
      </c>
      <c r="F3" s="12" t="s">
        <v>356</v>
      </c>
      <c r="G3" s="12" t="s">
        <v>233</v>
      </c>
      <c r="H3" s="12" t="s">
        <v>357</v>
      </c>
      <c r="I3" s="12" t="s">
        <v>358</v>
      </c>
      <c r="J3" s="12" t="s">
        <v>236</v>
      </c>
      <c r="K3" s="12" t="s">
        <v>359</v>
      </c>
    </row>
    <row r="4" spans="1:11" ht="43.5" customHeight="1" x14ac:dyDescent="0.35">
      <c r="A4" s="60" t="s">
        <v>360</v>
      </c>
      <c r="B4" s="20" t="s">
        <v>7</v>
      </c>
      <c r="C4" s="32">
        <v>2026</v>
      </c>
      <c r="D4" s="32">
        <f>'Energy Cost Analysis'!I10</f>
        <v>6.52</v>
      </c>
      <c r="E4" s="20" t="s">
        <v>8</v>
      </c>
      <c r="F4" s="20" t="s">
        <v>237</v>
      </c>
      <c r="G4" s="20" t="s">
        <v>240</v>
      </c>
      <c r="H4" s="20" t="s">
        <v>361</v>
      </c>
      <c r="I4" s="20" t="s">
        <v>242</v>
      </c>
      <c r="J4" s="60" t="s">
        <v>243</v>
      </c>
      <c r="K4" s="20"/>
    </row>
    <row r="5" spans="1:11" ht="43.5" customHeight="1" x14ac:dyDescent="0.35">
      <c r="A5" s="61" t="s">
        <v>362</v>
      </c>
      <c r="B5" s="13" t="s">
        <v>7</v>
      </c>
      <c r="C5" s="32">
        <v>2036</v>
      </c>
      <c r="D5" s="32">
        <f>'Energy Cost Analysis'!K10</f>
        <v>6.52</v>
      </c>
      <c r="E5" s="13" t="s">
        <v>8</v>
      </c>
      <c r="F5" s="13" t="s">
        <v>237</v>
      </c>
      <c r="G5" s="13" t="s">
        <v>240</v>
      </c>
      <c r="H5" s="13" t="s">
        <v>361</v>
      </c>
      <c r="I5" s="13" t="s">
        <v>242</v>
      </c>
      <c r="J5" s="61" t="s">
        <v>243</v>
      </c>
      <c r="K5" s="13"/>
    </row>
    <row r="6" spans="1:11" ht="43.5" customHeight="1" x14ac:dyDescent="0.35">
      <c r="A6" s="60" t="s">
        <v>363</v>
      </c>
      <c r="B6" s="20" t="s">
        <v>7</v>
      </c>
      <c r="C6" s="32">
        <v>2051</v>
      </c>
      <c r="D6" s="32">
        <f>'Energy Cost Analysis'!M10</f>
        <v>6.52</v>
      </c>
      <c r="E6" s="20" t="s">
        <v>8</v>
      </c>
      <c r="F6" s="20" t="s">
        <v>237</v>
      </c>
      <c r="G6" s="20" t="s">
        <v>240</v>
      </c>
      <c r="H6" s="20" t="s">
        <v>361</v>
      </c>
      <c r="I6" s="20" t="s">
        <v>242</v>
      </c>
      <c r="J6" s="60" t="s">
        <v>243</v>
      </c>
      <c r="K6" s="20"/>
    </row>
    <row r="7" spans="1:11" ht="43.5" customHeight="1" x14ac:dyDescent="0.35">
      <c r="A7" s="61" t="s">
        <v>364</v>
      </c>
      <c r="B7" s="13" t="s">
        <v>10</v>
      </c>
      <c r="C7" s="32">
        <v>2026</v>
      </c>
      <c r="D7" s="32">
        <f>'Energy Cost Analysis'!I11</f>
        <v>32.659999999999997</v>
      </c>
      <c r="E7" s="13" t="s">
        <v>8</v>
      </c>
      <c r="F7" s="13" t="s">
        <v>244</v>
      </c>
      <c r="G7" s="13" t="s">
        <v>245</v>
      </c>
      <c r="H7" s="13" t="s">
        <v>365</v>
      </c>
      <c r="I7" s="13" t="s">
        <v>242</v>
      </c>
      <c r="J7" s="61" t="s">
        <v>243</v>
      </c>
      <c r="K7" s="13"/>
    </row>
    <row r="8" spans="1:11" ht="43.5" customHeight="1" x14ac:dyDescent="0.35">
      <c r="A8" s="60" t="s">
        <v>366</v>
      </c>
      <c r="B8" s="20" t="s">
        <v>10</v>
      </c>
      <c r="C8" s="32">
        <v>2036</v>
      </c>
      <c r="D8" s="32">
        <f>'Energy Cost Analysis'!K11</f>
        <v>32.659999999999997</v>
      </c>
      <c r="E8" s="20" t="s">
        <v>8</v>
      </c>
      <c r="F8" s="20" t="s">
        <v>244</v>
      </c>
      <c r="G8" s="20" t="s">
        <v>245</v>
      </c>
      <c r="H8" s="20" t="s">
        <v>365</v>
      </c>
      <c r="I8" s="20" t="s">
        <v>242</v>
      </c>
      <c r="J8" s="60" t="s">
        <v>243</v>
      </c>
      <c r="K8" s="20"/>
    </row>
    <row r="9" spans="1:11" ht="43.5" customHeight="1" x14ac:dyDescent="0.35">
      <c r="A9" s="61" t="s">
        <v>367</v>
      </c>
      <c r="B9" s="13" t="s">
        <v>10</v>
      </c>
      <c r="C9" s="32">
        <v>2051</v>
      </c>
      <c r="D9" s="32">
        <f>'Energy Cost Analysis'!M11</f>
        <v>32.659999999999997</v>
      </c>
      <c r="E9" s="13" t="s">
        <v>8</v>
      </c>
      <c r="F9" s="13" t="s">
        <v>244</v>
      </c>
      <c r="G9" s="13" t="s">
        <v>245</v>
      </c>
      <c r="H9" s="13" t="s">
        <v>365</v>
      </c>
      <c r="I9" s="13" t="s">
        <v>242</v>
      </c>
      <c r="J9" s="61" t="s">
        <v>243</v>
      </c>
      <c r="K9" s="13"/>
    </row>
    <row r="10" spans="1:11" ht="43.5" customHeight="1" x14ac:dyDescent="0.35">
      <c r="A10" s="60" t="s">
        <v>368</v>
      </c>
      <c r="B10" s="20" t="s">
        <v>369</v>
      </c>
      <c r="C10" s="32">
        <v>2026</v>
      </c>
      <c r="D10" s="32">
        <f>'Model Detail'!C6</f>
        <v>5.0092024539877302</v>
      </c>
      <c r="E10" s="20" t="s">
        <v>13</v>
      </c>
      <c r="F10" s="20" t="s">
        <v>247</v>
      </c>
      <c r="G10" s="20" t="s">
        <v>249</v>
      </c>
      <c r="H10" s="20" t="s">
        <v>370</v>
      </c>
      <c r="I10" s="20" t="s">
        <v>371</v>
      </c>
      <c r="J10" s="60" t="s">
        <v>243</v>
      </c>
      <c r="K10" s="20" t="s">
        <v>372</v>
      </c>
    </row>
    <row r="11" spans="1:11" ht="43.5" customHeight="1" x14ac:dyDescent="0.35">
      <c r="A11" s="61" t="s">
        <v>373</v>
      </c>
      <c r="B11" s="13" t="s">
        <v>369</v>
      </c>
      <c r="C11" s="32">
        <v>2036</v>
      </c>
      <c r="D11" s="32">
        <f>'Model Detail'!D6</f>
        <v>5.0092024539877302</v>
      </c>
      <c r="E11" s="13" t="s">
        <v>13</v>
      </c>
      <c r="F11" s="13" t="s">
        <v>247</v>
      </c>
      <c r="G11" s="13" t="s">
        <v>249</v>
      </c>
      <c r="H11" s="13" t="s">
        <v>370</v>
      </c>
      <c r="I11" s="13" t="s">
        <v>371</v>
      </c>
      <c r="J11" s="61" t="s">
        <v>243</v>
      </c>
      <c r="K11" s="13" t="s">
        <v>374</v>
      </c>
    </row>
    <row r="12" spans="1:11" ht="43.5" customHeight="1" x14ac:dyDescent="0.35">
      <c r="A12" s="60" t="s">
        <v>375</v>
      </c>
      <c r="B12" s="20" t="s">
        <v>369</v>
      </c>
      <c r="C12" s="32">
        <v>2051</v>
      </c>
      <c r="D12" s="32">
        <f>'Model Detail'!E6</f>
        <v>5.0092024539877302</v>
      </c>
      <c r="E12" s="20" t="s">
        <v>13</v>
      </c>
      <c r="F12" s="20" t="s">
        <v>247</v>
      </c>
      <c r="G12" s="20" t="s">
        <v>249</v>
      </c>
      <c r="H12" s="20" t="s">
        <v>370</v>
      </c>
      <c r="I12" s="20" t="s">
        <v>371</v>
      </c>
      <c r="J12" s="60" t="s">
        <v>243</v>
      </c>
      <c r="K12" s="20" t="s">
        <v>376</v>
      </c>
    </row>
    <row r="13" spans="1:11" ht="43.5" customHeight="1" x14ac:dyDescent="0.35">
      <c r="A13" s="61" t="s">
        <v>377</v>
      </c>
      <c r="B13" s="13" t="s">
        <v>12</v>
      </c>
      <c r="C13" s="32">
        <v>2026</v>
      </c>
      <c r="D13" s="32">
        <f>'Energy Cost Analysis'!I12</f>
        <v>0.9</v>
      </c>
      <c r="E13" s="13" t="s">
        <v>13</v>
      </c>
      <c r="F13" s="13" t="s">
        <v>257</v>
      </c>
      <c r="G13" s="13" t="s">
        <v>258</v>
      </c>
      <c r="H13" s="13" t="s">
        <v>378</v>
      </c>
      <c r="I13" s="13" t="s">
        <v>259</v>
      </c>
      <c r="J13" s="61" t="s">
        <v>256</v>
      </c>
      <c r="K13" s="13"/>
    </row>
    <row r="14" spans="1:11" ht="43.5" customHeight="1" x14ac:dyDescent="0.35">
      <c r="A14" s="60" t="s">
        <v>379</v>
      </c>
      <c r="B14" s="20" t="s">
        <v>12</v>
      </c>
      <c r="C14" s="32">
        <v>2036</v>
      </c>
      <c r="D14" s="32">
        <f>'Energy Cost Analysis'!K12</f>
        <v>0.9</v>
      </c>
      <c r="E14" s="20" t="s">
        <v>13</v>
      </c>
      <c r="F14" s="20" t="s">
        <v>257</v>
      </c>
      <c r="G14" s="20" t="s">
        <v>258</v>
      </c>
      <c r="H14" s="20" t="s">
        <v>378</v>
      </c>
      <c r="I14" s="20" t="s">
        <v>259</v>
      </c>
      <c r="J14" s="60" t="s">
        <v>256</v>
      </c>
      <c r="K14" s="20"/>
    </row>
    <row r="15" spans="1:11" ht="43.5" customHeight="1" x14ac:dyDescent="0.35">
      <c r="A15" s="61" t="s">
        <v>380</v>
      </c>
      <c r="B15" s="13" t="s">
        <v>12</v>
      </c>
      <c r="C15" s="32">
        <v>2051</v>
      </c>
      <c r="D15" s="32">
        <f>'Energy Cost Analysis'!M12</f>
        <v>0.9</v>
      </c>
      <c r="E15" s="13" t="s">
        <v>13</v>
      </c>
      <c r="F15" s="13" t="s">
        <v>257</v>
      </c>
      <c r="G15" s="13" t="s">
        <v>258</v>
      </c>
      <c r="H15" s="13" t="s">
        <v>378</v>
      </c>
      <c r="I15" s="13" t="s">
        <v>259</v>
      </c>
      <c r="J15" s="61" t="s">
        <v>256</v>
      </c>
      <c r="K15" s="13"/>
    </row>
    <row r="16" spans="1:11" ht="43.5" customHeight="1" x14ac:dyDescent="0.35">
      <c r="A16" s="60" t="s">
        <v>381</v>
      </c>
      <c r="B16" s="20" t="s">
        <v>15</v>
      </c>
      <c r="C16" s="32">
        <v>2026</v>
      </c>
      <c r="D16" s="32">
        <f>'Energy Cost Analysis'!I13</f>
        <v>14.4</v>
      </c>
      <c r="E16" s="20" t="s">
        <v>16</v>
      </c>
      <c r="F16" s="20" t="s">
        <v>382</v>
      </c>
      <c r="G16" s="20" t="s">
        <v>383</v>
      </c>
      <c r="H16" s="20" t="s">
        <v>384</v>
      </c>
      <c r="I16" s="20" t="s">
        <v>385</v>
      </c>
      <c r="J16" s="60" t="s">
        <v>256</v>
      </c>
      <c r="K16" s="20"/>
    </row>
    <row r="17" spans="1:11" ht="43.5" customHeight="1" x14ac:dyDescent="0.35">
      <c r="A17" s="61" t="s">
        <v>386</v>
      </c>
      <c r="B17" s="13" t="s">
        <v>15</v>
      </c>
      <c r="C17" s="32">
        <v>2036</v>
      </c>
      <c r="D17" s="32">
        <f>'Energy Cost Analysis'!K13</f>
        <v>14.4</v>
      </c>
      <c r="E17" s="13" t="s">
        <v>16</v>
      </c>
      <c r="F17" s="13" t="s">
        <v>382</v>
      </c>
      <c r="G17" s="13" t="s">
        <v>383</v>
      </c>
      <c r="H17" s="13" t="s">
        <v>384</v>
      </c>
      <c r="I17" s="13" t="s">
        <v>385</v>
      </c>
      <c r="J17" s="61" t="s">
        <v>256</v>
      </c>
      <c r="K17" s="13"/>
    </row>
    <row r="18" spans="1:11" ht="43.5" customHeight="1" x14ac:dyDescent="0.35">
      <c r="A18" s="60" t="s">
        <v>387</v>
      </c>
      <c r="B18" s="20" t="s">
        <v>15</v>
      </c>
      <c r="C18" s="32">
        <v>2051</v>
      </c>
      <c r="D18" s="32">
        <f>'Energy Cost Analysis'!M13</f>
        <v>14.4</v>
      </c>
      <c r="E18" s="20" t="s">
        <v>16</v>
      </c>
      <c r="F18" s="20" t="s">
        <v>382</v>
      </c>
      <c r="G18" s="20" t="s">
        <v>383</v>
      </c>
      <c r="H18" s="20" t="s">
        <v>384</v>
      </c>
      <c r="I18" s="20" t="s">
        <v>385</v>
      </c>
      <c r="J18" s="60" t="s">
        <v>256</v>
      </c>
      <c r="K18" s="20"/>
    </row>
    <row r="19" spans="1:11" ht="43.5" customHeight="1" x14ac:dyDescent="0.35">
      <c r="A19" s="61" t="s">
        <v>388</v>
      </c>
      <c r="B19" s="13" t="s">
        <v>18</v>
      </c>
      <c r="C19" s="32">
        <v>2026</v>
      </c>
      <c r="D19" s="32">
        <f>'Energy Cost Analysis'!I14</f>
        <v>330</v>
      </c>
      <c r="E19" s="13" t="s">
        <v>19</v>
      </c>
      <c r="F19" s="13" t="s">
        <v>389</v>
      </c>
      <c r="G19" s="13" t="s">
        <v>390</v>
      </c>
      <c r="H19" s="13" t="s">
        <v>391</v>
      </c>
      <c r="I19" s="13" t="s">
        <v>259</v>
      </c>
      <c r="J19" s="61" t="s">
        <v>256</v>
      </c>
      <c r="K19" s="13"/>
    </row>
    <row r="20" spans="1:11" ht="43.5" customHeight="1" x14ac:dyDescent="0.35">
      <c r="A20" s="60" t="s">
        <v>392</v>
      </c>
      <c r="B20" s="20" t="s">
        <v>18</v>
      </c>
      <c r="C20" s="32">
        <v>2036</v>
      </c>
      <c r="D20" s="32">
        <f>'Energy Cost Analysis'!K14</f>
        <v>225</v>
      </c>
      <c r="E20" s="20" t="s">
        <v>19</v>
      </c>
      <c r="F20" s="20" t="s">
        <v>389</v>
      </c>
      <c r="G20" s="20" t="s">
        <v>390</v>
      </c>
      <c r="H20" s="20" t="s">
        <v>391</v>
      </c>
      <c r="I20" s="20" t="s">
        <v>259</v>
      </c>
      <c r="J20" s="60" t="s">
        <v>256</v>
      </c>
      <c r="K20" s="20"/>
    </row>
    <row r="21" spans="1:11" ht="43.5" customHeight="1" x14ac:dyDescent="0.35">
      <c r="A21" s="61" t="s">
        <v>393</v>
      </c>
      <c r="B21" s="13" t="s">
        <v>18</v>
      </c>
      <c r="C21" s="32">
        <v>2051</v>
      </c>
      <c r="D21" s="32">
        <f>'Energy Cost Analysis'!M14</f>
        <v>214</v>
      </c>
      <c r="E21" s="13" t="s">
        <v>19</v>
      </c>
      <c r="F21" s="13" t="s">
        <v>389</v>
      </c>
      <c r="G21" s="13" t="s">
        <v>390</v>
      </c>
      <c r="H21" s="13" t="s">
        <v>391</v>
      </c>
      <c r="I21" s="13" t="s">
        <v>259</v>
      </c>
      <c r="J21" s="61" t="s">
        <v>256</v>
      </c>
      <c r="K21" s="13"/>
    </row>
    <row r="22" spans="1:11" ht="43.5" customHeight="1" x14ac:dyDescent="0.35">
      <c r="A22" s="60" t="s">
        <v>394</v>
      </c>
      <c r="B22" s="20" t="s">
        <v>21</v>
      </c>
      <c r="C22" s="32">
        <v>2026</v>
      </c>
      <c r="D22" s="32">
        <f>'Energy Cost Analysis'!I15</f>
        <v>5</v>
      </c>
      <c r="E22" s="20" t="s">
        <v>22</v>
      </c>
      <c r="F22" s="20" t="s">
        <v>395</v>
      </c>
      <c r="G22" s="20" t="s">
        <v>396</v>
      </c>
      <c r="H22" s="20" t="s">
        <v>397</v>
      </c>
      <c r="I22" s="20" t="s">
        <v>259</v>
      </c>
      <c r="J22" s="60" t="s">
        <v>243</v>
      </c>
      <c r="K22" s="20"/>
    </row>
    <row r="23" spans="1:11" ht="43.5" customHeight="1" x14ac:dyDescent="0.35">
      <c r="A23" s="61" t="s">
        <v>398</v>
      </c>
      <c r="B23" s="13" t="s">
        <v>21</v>
      </c>
      <c r="C23" s="32">
        <v>2036</v>
      </c>
      <c r="D23" s="32">
        <f>'Energy Cost Analysis'!K15</f>
        <v>30</v>
      </c>
      <c r="E23" s="13" t="s">
        <v>22</v>
      </c>
      <c r="F23" s="13" t="s">
        <v>395</v>
      </c>
      <c r="G23" s="13" t="s">
        <v>396</v>
      </c>
      <c r="H23" s="13" t="s">
        <v>397</v>
      </c>
      <c r="I23" s="13" t="s">
        <v>259</v>
      </c>
      <c r="J23" s="61" t="s">
        <v>243</v>
      </c>
      <c r="K23" s="13"/>
    </row>
    <row r="24" spans="1:11" ht="43.5" customHeight="1" x14ac:dyDescent="0.35">
      <c r="A24" s="60" t="s">
        <v>399</v>
      </c>
      <c r="B24" s="20" t="s">
        <v>21</v>
      </c>
      <c r="C24" s="32">
        <v>2051</v>
      </c>
      <c r="D24" s="32">
        <f>'Energy Cost Analysis'!M15</f>
        <v>30</v>
      </c>
      <c r="E24" s="20" t="s">
        <v>22</v>
      </c>
      <c r="F24" s="20" t="s">
        <v>395</v>
      </c>
      <c r="G24" s="20" t="s">
        <v>396</v>
      </c>
      <c r="H24" s="20" t="s">
        <v>397</v>
      </c>
      <c r="I24" s="20" t="s">
        <v>259</v>
      </c>
      <c r="J24" s="60" t="s">
        <v>243</v>
      </c>
      <c r="K24" s="20"/>
    </row>
    <row r="25" spans="1:11" ht="43.5" customHeight="1" x14ac:dyDescent="0.35">
      <c r="A25" s="61" t="s">
        <v>400</v>
      </c>
      <c r="B25" s="13" t="s">
        <v>24</v>
      </c>
      <c r="C25" s="32">
        <v>2026</v>
      </c>
      <c r="D25" s="32">
        <f>'Energy Cost Analysis'!I16</f>
        <v>0</v>
      </c>
      <c r="E25" s="13" t="s">
        <v>25</v>
      </c>
      <c r="F25" s="13" t="s">
        <v>265</v>
      </c>
      <c r="G25" s="13" t="s">
        <v>266</v>
      </c>
      <c r="H25" s="13" t="s">
        <v>401</v>
      </c>
      <c r="I25" s="13" t="s">
        <v>259</v>
      </c>
      <c r="J25" s="61" t="s">
        <v>243</v>
      </c>
      <c r="K25" s="13"/>
    </row>
    <row r="26" spans="1:11" ht="43.5" customHeight="1" x14ac:dyDescent="0.35">
      <c r="A26" s="60" t="s">
        <v>402</v>
      </c>
      <c r="B26" s="20" t="s">
        <v>24</v>
      </c>
      <c r="C26" s="32">
        <v>2036</v>
      </c>
      <c r="D26" s="32">
        <f>'Energy Cost Analysis'!K16</f>
        <v>0</v>
      </c>
      <c r="E26" s="20" t="s">
        <v>25</v>
      </c>
      <c r="F26" s="20" t="s">
        <v>265</v>
      </c>
      <c r="G26" s="20" t="s">
        <v>266</v>
      </c>
      <c r="H26" s="20" t="s">
        <v>401</v>
      </c>
      <c r="I26" s="20" t="s">
        <v>259</v>
      </c>
      <c r="J26" s="60" t="s">
        <v>243</v>
      </c>
      <c r="K26" s="20"/>
    </row>
    <row r="27" spans="1:11" ht="43.5" customHeight="1" x14ac:dyDescent="0.35">
      <c r="A27" s="61" t="s">
        <v>403</v>
      </c>
      <c r="B27" s="13" t="s">
        <v>24</v>
      </c>
      <c r="C27" s="32">
        <v>2051</v>
      </c>
      <c r="D27" s="32">
        <f>'Energy Cost Analysis'!M16</f>
        <v>0</v>
      </c>
      <c r="E27" s="13" t="s">
        <v>25</v>
      </c>
      <c r="F27" s="13" t="s">
        <v>265</v>
      </c>
      <c r="G27" s="13" t="s">
        <v>266</v>
      </c>
      <c r="H27" s="13" t="s">
        <v>401</v>
      </c>
      <c r="I27" s="13" t="s">
        <v>259</v>
      </c>
      <c r="J27" s="61" t="s">
        <v>243</v>
      </c>
      <c r="K27" s="13"/>
    </row>
    <row r="28" spans="1:11" ht="43.5" customHeight="1" x14ac:dyDescent="0.35">
      <c r="A28" s="60" t="s">
        <v>404</v>
      </c>
      <c r="B28" s="20" t="s">
        <v>28</v>
      </c>
      <c r="C28" s="32">
        <v>2026</v>
      </c>
      <c r="D28" s="32">
        <f>'Energy Cost Analysis'!I22</f>
        <v>2026</v>
      </c>
      <c r="E28" s="20" t="s">
        <v>29</v>
      </c>
      <c r="F28" s="20" t="s">
        <v>273</v>
      </c>
      <c r="G28" s="20" t="s">
        <v>276</v>
      </c>
      <c r="H28" s="20" t="s">
        <v>405</v>
      </c>
      <c r="I28" s="20" t="s">
        <v>406</v>
      </c>
      <c r="J28" s="60" t="s">
        <v>243</v>
      </c>
      <c r="K28" s="20"/>
    </row>
    <row r="29" spans="1:11" ht="43.5" customHeight="1" x14ac:dyDescent="0.35">
      <c r="A29" s="61" t="s">
        <v>407</v>
      </c>
      <c r="B29" s="13" t="s">
        <v>28</v>
      </c>
      <c r="C29" s="32">
        <v>2036</v>
      </c>
      <c r="D29" s="32">
        <f>'Energy Cost Analysis'!K22</f>
        <v>2036</v>
      </c>
      <c r="E29" s="13" t="s">
        <v>29</v>
      </c>
      <c r="F29" s="13" t="s">
        <v>273</v>
      </c>
      <c r="G29" s="13" t="s">
        <v>276</v>
      </c>
      <c r="H29" s="13" t="s">
        <v>405</v>
      </c>
      <c r="I29" s="13" t="s">
        <v>406</v>
      </c>
      <c r="J29" s="61" t="s">
        <v>243</v>
      </c>
      <c r="K29" s="13"/>
    </row>
    <row r="30" spans="1:11" ht="43.5" customHeight="1" x14ac:dyDescent="0.35">
      <c r="A30" s="60" t="s">
        <v>408</v>
      </c>
      <c r="B30" s="20" t="s">
        <v>28</v>
      </c>
      <c r="C30" s="32">
        <v>2051</v>
      </c>
      <c r="D30" s="32">
        <f>'Energy Cost Analysis'!M22</f>
        <v>2050</v>
      </c>
      <c r="E30" s="20" t="s">
        <v>29</v>
      </c>
      <c r="F30" s="20" t="s">
        <v>273</v>
      </c>
      <c r="G30" s="20" t="s">
        <v>276</v>
      </c>
      <c r="H30" s="20" t="s">
        <v>405</v>
      </c>
      <c r="I30" s="20" t="s">
        <v>406</v>
      </c>
      <c r="J30" s="60" t="s">
        <v>243</v>
      </c>
      <c r="K30" s="20"/>
    </row>
    <row r="31" spans="1:11" ht="43.5" customHeight="1" x14ac:dyDescent="0.35">
      <c r="A31" s="61" t="s">
        <v>409</v>
      </c>
      <c r="B31" s="13" t="s">
        <v>31</v>
      </c>
      <c r="C31" s="32">
        <v>2026</v>
      </c>
      <c r="D31" s="32">
        <f>'Energy Cost Analysis'!I23</f>
        <v>220.14463399871153</v>
      </c>
      <c r="E31" s="13" t="s">
        <v>19</v>
      </c>
      <c r="F31" s="13" t="s">
        <v>410</v>
      </c>
      <c r="G31" s="13" t="s">
        <v>411</v>
      </c>
      <c r="H31" s="13" t="s">
        <v>412</v>
      </c>
      <c r="I31" s="13" t="s">
        <v>413</v>
      </c>
      <c r="J31" s="61" t="s">
        <v>243</v>
      </c>
      <c r="K31" s="13" t="s">
        <v>414</v>
      </c>
    </row>
    <row r="32" spans="1:11" ht="43.5" customHeight="1" x14ac:dyDescent="0.35">
      <c r="A32" s="60" t="s">
        <v>415</v>
      </c>
      <c r="B32" s="20" t="s">
        <v>31</v>
      </c>
      <c r="C32" s="32">
        <v>2036</v>
      </c>
      <c r="D32" s="32">
        <f>'Energy Cost Analysis'!K23</f>
        <v>170.97124453995809</v>
      </c>
      <c r="E32" s="20" t="s">
        <v>19</v>
      </c>
      <c r="F32" s="20" t="s">
        <v>410</v>
      </c>
      <c r="G32" s="20" t="s">
        <v>411</v>
      </c>
      <c r="H32" s="20" t="s">
        <v>412</v>
      </c>
      <c r="I32" s="20" t="s">
        <v>413</v>
      </c>
      <c r="J32" s="60" t="s">
        <v>243</v>
      </c>
      <c r="K32" s="20" t="s">
        <v>416</v>
      </c>
    </row>
    <row r="33" spans="1:11" ht="43.5" customHeight="1" x14ac:dyDescent="0.35">
      <c r="A33" s="61" t="s">
        <v>417</v>
      </c>
      <c r="B33" s="13" t="s">
        <v>31</v>
      </c>
      <c r="C33" s="32">
        <v>2051</v>
      </c>
      <c r="D33" s="32">
        <f>'Energy Cost Analysis'!M23</f>
        <v>142.69476089080587</v>
      </c>
      <c r="E33" s="13" t="s">
        <v>19</v>
      </c>
      <c r="F33" s="13" t="s">
        <v>410</v>
      </c>
      <c r="G33" s="13" t="s">
        <v>411</v>
      </c>
      <c r="H33" s="13" t="s">
        <v>412</v>
      </c>
      <c r="I33" s="13" t="s">
        <v>413</v>
      </c>
      <c r="J33" s="61" t="s">
        <v>243</v>
      </c>
      <c r="K33" s="13" t="s">
        <v>418</v>
      </c>
    </row>
    <row r="34" spans="1:11" ht="43.5" customHeight="1" x14ac:dyDescent="0.35">
      <c r="A34" s="60" t="s">
        <v>419</v>
      </c>
      <c r="B34" s="20" t="s">
        <v>33</v>
      </c>
      <c r="C34" s="32">
        <v>2026</v>
      </c>
      <c r="D34" s="32">
        <f>'Energy Cost Analysis'!I24</f>
        <v>3.1353937487784926</v>
      </c>
      <c r="E34" s="20" t="s">
        <v>34</v>
      </c>
      <c r="F34" s="20" t="s">
        <v>273</v>
      </c>
      <c r="G34" s="20" t="s">
        <v>276</v>
      </c>
      <c r="H34" s="20" t="s">
        <v>420</v>
      </c>
      <c r="I34" s="20" t="s">
        <v>421</v>
      </c>
      <c r="J34" s="60" t="s">
        <v>243</v>
      </c>
      <c r="K34" s="20" t="s">
        <v>422</v>
      </c>
    </row>
    <row r="35" spans="1:11" ht="43.5" customHeight="1" x14ac:dyDescent="0.35">
      <c r="A35" s="61" t="s">
        <v>423</v>
      </c>
      <c r="B35" s="13" t="s">
        <v>33</v>
      </c>
      <c r="C35" s="32">
        <v>2036</v>
      </c>
      <c r="D35" s="32">
        <f>'Energy Cost Analysis'!K24</f>
        <v>2.8850915704544033</v>
      </c>
      <c r="E35" s="13" t="s">
        <v>34</v>
      </c>
      <c r="F35" s="13" t="s">
        <v>273</v>
      </c>
      <c r="G35" s="13" t="s">
        <v>276</v>
      </c>
      <c r="H35" s="13" t="s">
        <v>420</v>
      </c>
      <c r="I35" s="13" t="s">
        <v>421</v>
      </c>
      <c r="J35" s="61" t="s">
        <v>243</v>
      </c>
      <c r="K35" s="13" t="s">
        <v>424</v>
      </c>
    </row>
    <row r="36" spans="1:11" ht="43.5" customHeight="1" x14ac:dyDescent="0.35">
      <c r="A36" s="60" t="s">
        <v>425</v>
      </c>
      <c r="B36" s="20" t="s">
        <v>33</v>
      </c>
      <c r="C36" s="32">
        <v>2051</v>
      </c>
      <c r="D36" s="32">
        <f>'Energy Cost Analysis'!M24</f>
        <v>2.6670665927209396</v>
      </c>
      <c r="E36" s="20" t="s">
        <v>34</v>
      </c>
      <c r="F36" s="20" t="s">
        <v>273</v>
      </c>
      <c r="G36" s="20" t="s">
        <v>276</v>
      </c>
      <c r="H36" s="20" t="s">
        <v>420</v>
      </c>
      <c r="I36" s="20" t="s">
        <v>421</v>
      </c>
      <c r="J36" s="60" t="s">
        <v>243</v>
      </c>
      <c r="K36" s="20" t="s">
        <v>426</v>
      </c>
    </row>
    <row r="37" spans="1:11" ht="43.5" customHeight="1" x14ac:dyDescent="0.35">
      <c r="A37" s="61" t="s">
        <v>427</v>
      </c>
      <c r="B37" s="13" t="s">
        <v>36</v>
      </c>
      <c r="C37" s="32">
        <v>2026</v>
      </c>
      <c r="D37" s="32">
        <f>'Energy Cost Analysis'!I25</f>
        <v>0.20599999999999999</v>
      </c>
      <c r="E37" s="13" t="s">
        <v>37</v>
      </c>
      <c r="F37" s="13" t="s">
        <v>428</v>
      </c>
      <c r="G37" s="13" t="s">
        <v>429</v>
      </c>
      <c r="H37" s="13" t="s">
        <v>430</v>
      </c>
      <c r="I37" s="13" t="s">
        <v>431</v>
      </c>
      <c r="J37" s="61" t="s">
        <v>256</v>
      </c>
      <c r="K37" s="13"/>
    </row>
    <row r="38" spans="1:11" ht="43.5" customHeight="1" x14ac:dyDescent="0.35">
      <c r="A38" s="60" t="s">
        <v>432</v>
      </c>
      <c r="B38" s="20" t="s">
        <v>36</v>
      </c>
      <c r="C38" s="32">
        <v>2036</v>
      </c>
      <c r="D38" s="32">
        <f>'Energy Cost Analysis'!K25</f>
        <v>0.26</v>
      </c>
      <c r="E38" s="20" t="s">
        <v>37</v>
      </c>
      <c r="F38" s="20" t="s">
        <v>428</v>
      </c>
      <c r="G38" s="20" t="s">
        <v>429</v>
      </c>
      <c r="H38" s="20" t="s">
        <v>430</v>
      </c>
      <c r="I38" s="20" t="s">
        <v>431</v>
      </c>
      <c r="J38" s="60" t="s">
        <v>256</v>
      </c>
      <c r="K38" s="20"/>
    </row>
    <row r="39" spans="1:11" ht="43.5" customHeight="1" x14ac:dyDescent="0.35">
      <c r="A39" s="61" t="s">
        <v>433</v>
      </c>
      <c r="B39" s="13" t="s">
        <v>36</v>
      </c>
      <c r="C39" s="32">
        <v>2051</v>
      </c>
      <c r="D39" s="32">
        <f>'Energy Cost Analysis'!M25</f>
        <v>0.28000000000000003</v>
      </c>
      <c r="E39" s="13" t="s">
        <v>37</v>
      </c>
      <c r="F39" s="13" t="s">
        <v>428</v>
      </c>
      <c r="G39" s="13" t="s">
        <v>429</v>
      </c>
      <c r="H39" s="13" t="s">
        <v>430</v>
      </c>
      <c r="I39" s="13" t="s">
        <v>431</v>
      </c>
      <c r="J39" s="61" t="s">
        <v>256</v>
      </c>
      <c r="K39" s="13"/>
    </row>
    <row r="40" spans="1:11" ht="43.5" customHeight="1" x14ac:dyDescent="0.35">
      <c r="A40" s="60" t="s">
        <v>434</v>
      </c>
      <c r="B40" s="20" t="s">
        <v>39</v>
      </c>
      <c r="C40" s="32">
        <v>2026</v>
      </c>
      <c r="D40" s="32">
        <f>'Energy Cost Analysis'!I26</f>
        <v>0.18745999999999999</v>
      </c>
      <c r="E40" s="20" t="s">
        <v>37</v>
      </c>
      <c r="F40" s="20" t="s">
        <v>428</v>
      </c>
      <c r="G40" s="20" t="s">
        <v>429</v>
      </c>
      <c r="H40" s="20" t="s">
        <v>435</v>
      </c>
      <c r="I40" s="20" t="s">
        <v>436</v>
      </c>
      <c r="J40" s="60" t="s">
        <v>256</v>
      </c>
      <c r="K40" s="20" t="s">
        <v>437</v>
      </c>
    </row>
    <row r="41" spans="1:11" ht="43.5" customHeight="1" x14ac:dyDescent="0.35">
      <c r="A41" s="61" t="s">
        <v>438</v>
      </c>
      <c r="B41" s="13" t="s">
        <v>39</v>
      </c>
      <c r="C41" s="32">
        <v>2036</v>
      </c>
      <c r="D41" s="32">
        <f>'Energy Cost Analysis'!K26</f>
        <v>0.2366</v>
      </c>
      <c r="E41" s="13" t="s">
        <v>37</v>
      </c>
      <c r="F41" s="13" t="s">
        <v>428</v>
      </c>
      <c r="G41" s="13" t="s">
        <v>429</v>
      </c>
      <c r="H41" s="13" t="s">
        <v>435</v>
      </c>
      <c r="I41" s="13" t="s">
        <v>436</v>
      </c>
      <c r="J41" s="61" t="s">
        <v>256</v>
      </c>
      <c r="K41" s="13" t="s">
        <v>439</v>
      </c>
    </row>
    <row r="42" spans="1:11" ht="43.5" customHeight="1" x14ac:dyDescent="0.35">
      <c r="A42" s="60" t="s">
        <v>440</v>
      </c>
      <c r="B42" s="20" t="s">
        <v>39</v>
      </c>
      <c r="C42" s="32">
        <v>2051</v>
      </c>
      <c r="D42" s="32">
        <f>'Energy Cost Analysis'!M26</f>
        <v>0.25480000000000003</v>
      </c>
      <c r="E42" s="20" t="s">
        <v>37</v>
      </c>
      <c r="F42" s="20" t="s">
        <v>428</v>
      </c>
      <c r="G42" s="20" t="s">
        <v>429</v>
      </c>
      <c r="H42" s="20" t="s">
        <v>435</v>
      </c>
      <c r="I42" s="20" t="s">
        <v>436</v>
      </c>
      <c r="J42" s="60" t="s">
        <v>256</v>
      </c>
      <c r="K42" s="20" t="s">
        <v>441</v>
      </c>
    </row>
    <row r="43" spans="1:11" ht="43.5" customHeight="1" x14ac:dyDescent="0.35">
      <c r="A43" s="61" t="s">
        <v>442</v>
      </c>
      <c r="B43" s="13" t="s">
        <v>41</v>
      </c>
      <c r="C43" s="32">
        <v>2026</v>
      </c>
      <c r="D43" s="32">
        <f>'Energy Cost Analysis'!I27</f>
        <v>0.91</v>
      </c>
      <c r="E43" s="13" t="s">
        <v>13</v>
      </c>
      <c r="F43" s="13" t="s">
        <v>428</v>
      </c>
      <c r="G43" s="13" t="s">
        <v>429</v>
      </c>
      <c r="H43" s="13" t="s">
        <v>443</v>
      </c>
      <c r="I43" s="13" t="s">
        <v>272</v>
      </c>
      <c r="J43" s="61" t="s">
        <v>256</v>
      </c>
      <c r="K43" s="13"/>
    </row>
    <row r="44" spans="1:11" ht="43.5" customHeight="1" x14ac:dyDescent="0.35">
      <c r="A44" s="60" t="s">
        <v>444</v>
      </c>
      <c r="B44" s="20" t="s">
        <v>41</v>
      </c>
      <c r="C44" s="32">
        <v>2036</v>
      </c>
      <c r="D44" s="32">
        <f>'Energy Cost Analysis'!K27</f>
        <v>0.91</v>
      </c>
      <c r="E44" s="20" t="s">
        <v>13</v>
      </c>
      <c r="F44" s="20" t="s">
        <v>428</v>
      </c>
      <c r="G44" s="20" t="s">
        <v>429</v>
      </c>
      <c r="H44" s="20" t="s">
        <v>443</v>
      </c>
      <c r="I44" s="20" t="s">
        <v>272</v>
      </c>
      <c r="J44" s="60" t="s">
        <v>256</v>
      </c>
      <c r="K44" s="20"/>
    </row>
    <row r="45" spans="1:11" ht="43.5" customHeight="1" x14ac:dyDescent="0.35">
      <c r="A45" s="61" t="s">
        <v>445</v>
      </c>
      <c r="B45" s="13" t="s">
        <v>41</v>
      </c>
      <c r="C45" s="32">
        <v>2051</v>
      </c>
      <c r="D45" s="32">
        <f>'Energy Cost Analysis'!M27</f>
        <v>0.91</v>
      </c>
      <c r="E45" s="13" t="s">
        <v>13</v>
      </c>
      <c r="F45" s="13" t="s">
        <v>428</v>
      </c>
      <c r="G45" s="13" t="s">
        <v>429</v>
      </c>
      <c r="H45" s="13" t="s">
        <v>443</v>
      </c>
      <c r="I45" s="13" t="s">
        <v>272</v>
      </c>
      <c r="J45" s="61" t="s">
        <v>256</v>
      </c>
      <c r="K45" s="13"/>
    </row>
    <row r="46" spans="1:11" ht="43.5" customHeight="1" x14ac:dyDescent="0.35">
      <c r="A46" s="60" t="s">
        <v>446</v>
      </c>
      <c r="B46" s="20" t="s">
        <v>43</v>
      </c>
      <c r="C46" s="32">
        <v>2026</v>
      </c>
      <c r="D46" s="32">
        <f>'Energy Cost Analysis'!I28</f>
        <v>7.0000000000000001E-3</v>
      </c>
      <c r="E46" s="20" t="s">
        <v>44</v>
      </c>
      <c r="F46" s="20" t="s">
        <v>273</v>
      </c>
      <c r="G46" s="20" t="s">
        <v>276</v>
      </c>
      <c r="H46" s="20" t="s">
        <v>447</v>
      </c>
      <c r="I46" s="20" t="s">
        <v>448</v>
      </c>
      <c r="J46" s="60" t="s">
        <v>243</v>
      </c>
      <c r="K46" s="20"/>
    </row>
    <row r="47" spans="1:11" ht="43.5" customHeight="1" x14ac:dyDescent="0.35">
      <c r="A47" s="61" t="s">
        <v>449</v>
      </c>
      <c r="B47" s="13" t="s">
        <v>43</v>
      </c>
      <c r="C47" s="32">
        <v>2036</v>
      </c>
      <c r="D47" s="32">
        <f>'Energy Cost Analysis'!K28</f>
        <v>5.0000000000000001E-3</v>
      </c>
      <c r="E47" s="13" t="s">
        <v>44</v>
      </c>
      <c r="F47" s="13" t="s">
        <v>273</v>
      </c>
      <c r="G47" s="13" t="s">
        <v>276</v>
      </c>
      <c r="H47" s="13" t="s">
        <v>447</v>
      </c>
      <c r="I47" s="13" t="s">
        <v>448</v>
      </c>
      <c r="J47" s="61" t="s">
        <v>243</v>
      </c>
      <c r="K47" s="13"/>
    </row>
    <row r="48" spans="1:11" ht="43.5" customHeight="1" x14ac:dyDescent="0.35">
      <c r="A48" s="60" t="s">
        <v>450</v>
      </c>
      <c r="B48" s="20" t="s">
        <v>43</v>
      </c>
      <c r="C48" s="32">
        <v>2051</v>
      </c>
      <c r="D48" s="32">
        <f>'Energy Cost Analysis'!M28</f>
        <v>2E-3</v>
      </c>
      <c r="E48" s="20" t="s">
        <v>44</v>
      </c>
      <c r="F48" s="20" t="s">
        <v>273</v>
      </c>
      <c r="G48" s="20" t="s">
        <v>276</v>
      </c>
      <c r="H48" s="20" t="s">
        <v>447</v>
      </c>
      <c r="I48" s="20" t="s">
        <v>448</v>
      </c>
      <c r="J48" s="60" t="s">
        <v>243</v>
      </c>
      <c r="K48" s="20"/>
    </row>
    <row r="49" spans="1:11" ht="43.5" customHeight="1" x14ac:dyDescent="0.35">
      <c r="A49" s="61" t="s">
        <v>451</v>
      </c>
      <c r="B49" s="13" t="s">
        <v>46</v>
      </c>
      <c r="C49" s="32">
        <v>2026</v>
      </c>
      <c r="D49" s="32">
        <f>'Energy Cost Analysis'!I29</f>
        <v>5.6638023430845744E-2</v>
      </c>
      <c r="E49" s="13" t="s">
        <v>44</v>
      </c>
      <c r="F49" s="13" t="s">
        <v>273</v>
      </c>
      <c r="G49" s="13" t="s">
        <v>276</v>
      </c>
      <c r="H49" s="13" t="s">
        <v>452</v>
      </c>
      <c r="I49" s="13" t="s">
        <v>339</v>
      </c>
      <c r="J49" s="61" t="s">
        <v>243</v>
      </c>
      <c r="K49" s="13"/>
    </row>
    <row r="50" spans="1:11" ht="43.5" customHeight="1" x14ac:dyDescent="0.35">
      <c r="A50" s="60" t="s">
        <v>453</v>
      </c>
      <c r="B50" s="20" t="s">
        <v>46</v>
      </c>
      <c r="C50" s="32">
        <v>2036</v>
      </c>
      <c r="D50" s="32">
        <f>'Energy Cost Analysis'!K29</f>
        <v>5.6638023430845744E-2</v>
      </c>
      <c r="E50" s="20" t="s">
        <v>44</v>
      </c>
      <c r="F50" s="20" t="s">
        <v>273</v>
      </c>
      <c r="G50" s="20" t="s">
        <v>276</v>
      </c>
      <c r="H50" s="20" t="s">
        <v>452</v>
      </c>
      <c r="I50" s="20" t="s">
        <v>339</v>
      </c>
      <c r="J50" s="60" t="s">
        <v>243</v>
      </c>
      <c r="K50" s="20"/>
    </row>
    <row r="51" spans="1:11" ht="43.5" customHeight="1" x14ac:dyDescent="0.35">
      <c r="A51" s="61" t="s">
        <v>454</v>
      </c>
      <c r="B51" s="13" t="s">
        <v>46</v>
      </c>
      <c r="C51" s="32">
        <v>2051</v>
      </c>
      <c r="D51" s="32">
        <f>'Energy Cost Analysis'!M29</f>
        <v>5.6638023430845744E-2</v>
      </c>
      <c r="E51" s="13" t="s">
        <v>44</v>
      </c>
      <c r="F51" s="13" t="s">
        <v>273</v>
      </c>
      <c r="G51" s="13" t="s">
        <v>276</v>
      </c>
      <c r="H51" s="13" t="s">
        <v>452</v>
      </c>
      <c r="I51" s="13" t="s">
        <v>339</v>
      </c>
      <c r="J51" s="61" t="s">
        <v>243</v>
      </c>
      <c r="K51" s="13"/>
    </row>
    <row r="52" spans="1:11" ht="43.5" customHeight="1" x14ac:dyDescent="0.35">
      <c r="A52" s="60" t="s">
        <v>455</v>
      </c>
      <c r="B52" s="20" t="s">
        <v>48</v>
      </c>
      <c r="C52" s="32">
        <v>2026</v>
      </c>
      <c r="D52" s="32">
        <f>'Energy Cost Analysis'!I30</f>
        <v>1659.3941388521046</v>
      </c>
      <c r="E52" s="20" t="s">
        <v>49</v>
      </c>
      <c r="F52" s="20" t="s">
        <v>285</v>
      </c>
      <c r="G52" s="20" t="s">
        <v>288</v>
      </c>
      <c r="H52" s="20" t="s">
        <v>456</v>
      </c>
      <c r="I52" s="20" t="s">
        <v>339</v>
      </c>
      <c r="J52" s="60" t="s">
        <v>243</v>
      </c>
      <c r="K52" s="20"/>
    </row>
    <row r="53" spans="1:11" ht="43.5" customHeight="1" x14ac:dyDescent="0.35">
      <c r="A53" s="61" t="s">
        <v>457</v>
      </c>
      <c r="B53" s="13" t="s">
        <v>48</v>
      </c>
      <c r="C53" s="32">
        <v>2036</v>
      </c>
      <c r="D53" s="32">
        <f>'Energy Cost Analysis'!K30</f>
        <v>1326.614717122475</v>
      </c>
      <c r="E53" s="13" t="s">
        <v>49</v>
      </c>
      <c r="F53" s="13" t="s">
        <v>285</v>
      </c>
      <c r="G53" s="13" t="s">
        <v>288</v>
      </c>
      <c r="H53" s="13" t="s">
        <v>456</v>
      </c>
      <c r="I53" s="13" t="s">
        <v>339</v>
      </c>
      <c r="J53" s="61" t="s">
        <v>243</v>
      </c>
      <c r="K53" s="13"/>
    </row>
    <row r="54" spans="1:11" ht="43.5" customHeight="1" x14ac:dyDescent="0.35">
      <c r="A54" s="60" t="s">
        <v>458</v>
      </c>
      <c r="B54" s="20" t="s">
        <v>48</v>
      </c>
      <c r="C54" s="32">
        <v>2051</v>
      </c>
      <c r="D54" s="32">
        <f>'Energy Cost Analysis'!M30</f>
        <v>1035.7717370242874</v>
      </c>
      <c r="E54" s="20" t="s">
        <v>49</v>
      </c>
      <c r="F54" s="20" t="s">
        <v>285</v>
      </c>
      <c r="G54" s="20" t="s">
        <v>288</v>
      </c>
      <c r="H54" s="20" t="s">
        <v>456</v>
      </c>
      <c r="I54" s="20" t="s">
        <v>339</v>
      </c>
      <c r="J54" s="60" t="s">
        <v>243</v>
      </c>
      <c r="K54" s="20"/>
    </row>
    <row r="55" spans="1:11" ht="43.5" customHeight="1" x14ac:dyDescent="0.35">
      <c r="A55" s="61" t="s">
        <v>459</v>
      </c>
      <c r="B55" s="13" t="s">
        <v>51</v>
      </c>
      <c r="C55" s="32">
        <v>2026</v>
      </c>
      <c r="D55" s="32">
        <f>'Energy Cost Analysis'!I31</f>
        <v>58.498223528848015</v>
      </c>
      <c r="E55" s="13" t="s">
        <v>52</v>
      </c>
      <c r="F55" s="13" t="s">
        <v>285</v>
      </c>
      <c r="G55" s="13" t="s">
        <v>288</v>
      </c>
      <c r="H55" s="13" t="s">
        <v>460</v>
      </c>
      <c r="I55" s="13" t="s">
        <v>339</v>
      </c>
      <c r="J55" s="61" t="s">
        <v>243</v>
      </c>
      <c r="K55" s="13"/>
    </row>
    <row r="56" spans="1:11" ht="43.5" customHeight="1" x14ac:dyDescent="0.35">
      <c r="A56" s="60" t="s">
        <v>461</v>
      </c>
      <c r="B56" s="20" t="s">
        <v>51</v>
      </c>
      <c r="C56" s="32">
        <v>2036</v>
      </c>
      <c r="D56" s="32">
        <f>'Energy Cost Analysis'!K31</f>
        <v>46.766830400264908</v>
      </c>
      <c r="E56" s="20" t="s">
        <v>52</v>
      </c>
      <c r="F56" s="20" t="s">
        <v>285</v>
      </c>
      <c r="G56" s="20" t="s">
        <v>288</v>
      </c>
      <c r="H56" s="20" t="s">
        <v>460</v>
      </c>
      <c r="I56" s="20" t="s">
        <v>339</v>
      </c>
      <c r="J56" s="60" t="s">
        <v>243</v>
      </c>
      <c r="K56" s="20"/>
    </row>
    <row r="57" spans="1:11" ht="43.5" customHeight="1" x14ac:dyDescent="0.35">
      <c r="A57" s="61" t="s">
        <v>462</v>
      </c>
      <c r="B57" s="13" t="s">
        <v>51</v>
      </c>
      <c r="C57" s="32">
        <v>2051</v>
      </c>
      <c r="D57" s="32">
        <f>'Energy Cost Analysis'!M31</f>
        <v>36.513812588987442</v>
      </c>
      <c r="E57" s="13" t="s">
        <v>52</v>
      </c>
      <c r="F57" s="13" t="s">
        <v>285</v>
      </c>
      <c r="G57" s="13" t="s">
        <v>288</v>
      </c>
      <c r="H57" s="13" t="s">
        <v>460</v>
      </c>
      <c r="I57" s="13" t="s">
        <v>339</v>
      </c>
      <c r="J57" s="61" t="s">
        <v>243</v>
      </c>
      <c r="K57" s="13"/>
    </row>
    <row r="58" spans="1:11" ht="43.5" customHeight="1" x14ac:dyDescent="0.35">
      <c r="A58" s="60" t="s">
        <v>463</v>
      </c>
      <c r="B58" s="20" t="s">
        <v>54</v>
      </c>
      <c r="C58" s="32">
        <v>2026</v>
      </c>
      <c r="D58" s="32">
        <f>'Energy Cost Analysis'!I32</f>
        <v>37.522397883081418</v>
      </c>
      <c r="E58" s="20" t="s">
        <v>52</v>
      </c>
      <c r="F58" s="20" t="s">
        <v>285</v>
      </c>
      <c r="G58" s="20" t="s">
        <v>288</v>
      </c>
      <c r="H58" s="20" t="s">
        <v>464</v>
      </c>
      <c r="I58" s="20" t="s">
        <v>339</v>
      </c>
      <c r="J58" s="60" t="s">
        <v>243</v>
      </c>
      <c r="K58" s="20"/>
    </row>
    <row r="59" spans="1:11" ht="43.5" customHeight="1" x14ac:dyDescent="0.35">
      <c r="A59" s="61" t="s">
        <v>465</v>
      </c>
      <c r="B59" s="13" t="s">
        <v>54</v>
      </c>
      <c r="C59" s="32">
        <v>2036</v>
      </c>
      <c r="D59" s="32">
        <f>'Energy Cost Analysis'!K32</f>
        <v>29.49619716805525</v>
      </c>
      <c r="E59" s="13" t="s">
        <v>52</v>
      </c>
      <c r="F59" s="13" t="s">
        <v>285</v>
      </c>
      <c r="G59" s="13" t="s">
        <v>288</v>
      </c>
      <c r="H59" s="13" t="s">
        <v>464</v>
      </c>
      <c r="I59" s="13" t="s">
        <v>339</v>
      </c>
      <c r="J59" s="61" t="s">
        <v>243</v>
      </c>
      <c r="K59" s="13"/>
    </row>
    <row r="60" spans="1:11" ht="43.5" customHeight="1" x14ac:dyDescent="0.35">
      <c r="A60" s="60" t="s">
        <v>466</v>
      </c>
      <c r="B60" s="20" t="s">
        <v>54</v>
      </c>
      <c r="C60" s="32">
        <v>2051</v>
      </c>
      <c r="D60" s="32">
        <f>'Energy Cost Analysis'!M32</f>
        <v>22.4814481108825</v>
      </c>
      <c r="E60" s="20" t="s">
        <v>52</v>
      </c>
      <c r="F60" s="20" t="s">
        <v>285</v>
      </c>
      <c r="G60" s="20" t="s">
        <v>288</v>
      </c>
      <c r="H60" s="20" t="s">
        <v>464</v>
      </c>
      <c r="I60" s="20" t="s">
        <v>339</v>
      </c>
      <c r="J60" s="60" t="s">
        <v>243</v>
      </c>
      <c r="K60" s="20"/>
    </row>
    <row r="61" spans="1:11" ht="43.5" customHeight="1" x14ac:dyDescent="0.35">
      <c r="A61" s="61" t="s">
        <v>467</v>
      </c>
      <c r="B61" s="13" t="s">
        <v>56</v>
      </c>
      <c r="C61" s="32">
        <v>2026</v>
      </c>
      <c r="D61" s="32">
        <f>'Energy Cost Analysis'!I33</f>
        <v>0.85</v>
      </c>
      <c r="E61" s="13" t="s">
        <v>37</v>
      </c>
      <c r="F61" s="13" t="s">
        <v>285</v>
      </c>
      <c r="G61" s="13" t="s">
        <v>288</v>
      </c>
      <c r="H61" s="13" t="s">
        <v>468</v>
      </c>
      <c r="I61" s="13" t="s">
        <v>284</v>
      </c>
      <c r="J61" s="61" t="s">
        <v>243</v>
      </c>
      <c r="K61" s="13"/>
    </row>
    <row r="62" spans="1:11" ht="43.5" customHeight="1" x14ac:dyDescent="0.35">
      <c r="A62" s="60" t="s">
        <v>469</v>
      </c>
      <c r="B62" s="20" t="s">
        <v>56</v>
      </c>
      <c r="C62" s="32">
        <v>2036</v>
      </c>
      <c r="D62" s="32">
        <f>'Energy Cost Analysis'!K33</f>
        <v>0.85</v>
      </c>
      <c r="E62" s="20" t="s">
        <v>37</v>
      </c>
      <c r="F62" s="20" t="s">
        <v>285</v>
      </c>
      <c r="G62" s="20" t="s">
        <v>288</v>
      </c>
      <c r="H62" s="20" t="s">
        <v>468</v>
      </c>
      <c r="I62" s="20" t="s">
        <v>284</v>
      </c>
      <c r="J62" s="60" t="s">
        <v>243</v>
      </c>
      <c r="K62" s="20"/>
    </row>
    <row r="63" spans="1:11" ht="43.5" customHeight="1" x14ac:dyDescent="0.35">
      <c r="A63" s="61" t="s">
        <v>470</v>
      </c>
      <c r="B63" s="13" t="s">
        <v>56</v>
      </c>
      <c r="C63" s="32">
        <v>2051</v>
      </c>
      <c r="D63" s="32">
        <f>'Energy Cost Analysis'!M33</f>
        <v>0.85</v>
      </c>
      <c r="E63" s="13" t="s">
        <v>37</v>
      </c>
      <c r="F63" s="13" t="s">
        <v>285</v>
      </c>
      <c r="G63" s="13" t="s">
        <v>288</v>
      </c>
      <c r="H63" s="13" t="s">
        <v>468</v>
      </c>
      <c r="I63" s="13" t="s">
        <v>284</v>
      </c>
      <c r="J63" s="61" t="s">
        <v>243</v>
      </c>
      <c r="K63" s="13"/>
    </row>
    <row r="64" spans="1:11" ht="43.5" customHeight="1" x14ac:dyDescent="0.35">
      <c r="A64" s="60" t="s">
        <v>471</v>
      </c>
      <c r="B64" s="20" t="s">
        <v>58</v>
      </c>
      <c r="C64" s="32">
        <v>2026</v>
      </c>
      <c r="D64" s="32">
        <f>'Energy Cost Analysis'!I34</f>
        <v>2.2999999999999998</v>
      </c>
      <c r="E64" s="20" t="s">
        <v>59</v>
      </c>
      <c r="F64" s="20" t="s">
        <v>472</v>
      </c>
      <c r="G64" s="20" t="s">
        <v>473</v>
      </c>
      <c r="H64" s="20" t="s">
        <v>474</v>
      </c>
      <c r="I64" s="20" t="s">
        <v>272</v>
      </c>
      <c r="J64" s="60" t="s">
        <v>256</v>
      </c>
      <c r="K64" s="20"/>
    </row>
    <row r="65" spans="1:11" ht="43.5" customHeight="1" x14ac:dyDescent="0.35">
      <c r="A65" s="61" t="s">
        <v>475</v>
      </c>
      <c r="B65" s="13" t="s">
        <v>58</v>
      </c>
      <c r="C65" s="32">
        <v>2036</v>
      </c>
      <c r="D65" s="32">
        <f>'Energy Cost Analysis'!K34</f>
        <v>2</v>
      </c>
      <c r="E65" s="13" t="s">
        <v>59</v>
      </c>
      <c r="F65" s="13" t="s">
        <v>472</v>
      </c>
      <c r="G65" s="13" t="s">
        <v>473</v>
      </c>
      <c r="H65" s="13" t="s">
        <v>474</v>
      </c>
      <c r="I65" s="13" t="s">
        <v>272</v>
      </c>
      <c r="J65" s="61" t="s">
        <v>256</v>
      </c>
      <c r="K65" s="13"/>
    </row>
    <row r="66" spans="1:11" ht="43.5" customHeight="1" x14ac:dyDescent="0.35">
      <c r="A66" s="60" t="s">
        <v>476</v>
      </c>
      <c r="B66" s="20" t="s">
        <v>58</v>
      </c>
      <c r="C66" s="32">
        <v>2051</v>
      </c>
      <c r="D66" s="32">
        <f>'Energy Cost Analysis'!M34</f>
        <v>1.8</v>
      </c>
      <c r="E66" s="20" t="s">
        <v>59</v>
      </c>
      <c r="F66" s="20" t="s">
        <v>472</v>
      </c>
      <c r="G66" s="20" t="s">
        <v>473</v>
      </c>
      <c r="H66" s="20" t="s">
        <v>474</v>
      </c>
      <c r="I66" s="20" t="s">
        <v>272</v>
      </c>
      <c r="J66" s="60" t="s">
        <v>256</v>
      </c>
      <c r="K66" s="20"/>
    </row>
    <row r="67" spans="1:11" ht="43.5" customHeight="1" x14ac:dyDescent="0.35">
      <c r="A67" s="61" t="s">
        <v>477</v>
      </c>
      <c r="B67" s="13" t="s">
        <v>61</v>
      </c>
      <c r="C67" s="32">
        <v>2026</v>
      </c>
      <c r="D67" s="32">
        <f>'Energy Cost Analysis'!I35</f>
        <v>0.21</v>
      </c>
      <c r="E67" s="13" t="s">
        <v>37</v>
      </c>
      <c r="F67" s="13" t="s">
        <v>478</v>
      </c>
      <c r="G67" s="13" t="s">
        <v>479</v>
      </c>
      <c r="H67" s="13" t="s">
        <v>480</v>
      </c>
      <c r="I67" s="13" t="s">
        <v>272</v>
      </c>
      <c r="J67" s="61" t="s">
        <v>256</v>
      </c>
      <c r="K67" s="13"/>
    </row>
    <row r="68" spans="1:11" ht="43.5" customHeight="1" x14ac:dyDescent="0.35">
      <c r="A68" s="60" t="s">
        <v>481</v>
      </c>
      <c r="B68" s="20" t="s">
        <v>61</v>
      </c>
      <c r="C68" s="32">
        <v>2036</v>
      </c>
      <c r="D68" s="32">
        <f>'Energy Cost Analysis'!K35</f>
        <v>0.24</v>
      </c>
      <c r="E68" s="20" t="s">
        <v>37</v>
      </c>
      <c r="F68" s="20" t="s">
        <v>478</v>
      </c>
      <c r="G68" s="20" t="s">
        <v>479</v>
      </c>
      <c r="H68" s="20" t="s">
        <v>480</v>
      </c>
      <c r="I68" s="20" t="s">
        <v>272</v>
      </c>
      <c r="J68" s="60" t="s">
        <v>256</v>
      </c>
      <c r="K68" s="20"/>
    </row>
    <row r="69" spans="1:11" ht="43.5" customHeight="1" x14ac:dyDescent="0.35">
      <c r="A69" s="61" t="s">
        <v>482</v>
      </c>
      <c r="B69" s="13" t="s">
        <v>61</v>
      </c>
      <c r="C69" s="32">
        <v>2051</v>
      </c>
      <c r="D69" s="32">
        <f>'Energy Cost Analysis'!M35</f>
        <v>0.26</v>
      </c>
      <c r="E69" s="13" t="s">
        <v>37</v>
      </c>
      <c r="F69" s="13" t="s">
        <v>478</v>
      </c>
      <c r="G69" s="13" t="s">
        <v>479</v>
      </c>
      <c r="H69" s="13" t="s">
        <v>480</v>
      </c>
      <c r="I69" s="13" t="s">
        <v>272</v>
      </c>
      <c r="J69" s="61" t="s">
        <v>256</v>
      </c>
      <c r="K69" s="13"/>
    </row>
    <row r="70" spans="1:11" ht="43.5" customHeight="1" x14ac:dyDescent="0.35">
      <c r="A70" s="60" t="s">
        <v>483</v>
      </c>
      <c r="B70" s="20" t="s">
        <v>63</v>
      </c>
      <c r="C70" s="32">
        <v>2026</v>
      </c>
      <c r="D70" s="32">
        <f>'Energy Cost Analysis'!I36</f>
        <v>1.4999999999999999E-2</v>
      </c>
      <c r="E70" s="20" t="s">
        <v>44</v>
      </c>
      <c r="F70" s="20" t="s">
        <v>484</v>
      </c>
      <c r="G70" s="20" t="s">
        <v>485</v>
      </c>
      <c r="H70" s="20" t="s">
        <v>486</v>
      </c>
      <c r="I70" s="20" t="s">
        <v>272</v>
      </c>
      <c r="J70" s="60" t="s">
        <v>256</v>
      </c>
      <c r="K70" s="20"/>
    </row>
    <row r="71" spans="1:11" ht="43.5" customHeight="1" x14ac:dyDescent="0.35">
      <c r="A71" s="61" t="s">
        <v>487</v>
      </c>
      <c r="B71" s="13" t="s">
        <v>63</v>
      </c>
      <c r="C71" s="32">
        <v>2036</v>
      </c>
      <c r="D71" s="32">
        <f>'Energy Cost Analysis'!K36</f>
        <v>0.01</v>
      </c>
      <c r="E71" s="13" t="s">
        <v>44</v>
      </c>
      <c r="F71" s="13" t="s">
        <v>484</v>
      </c>
      <c r="G71" s="13" t="s">
        <v>485</v>
      </c>
      <c r="H71" s="13" t="s">
        <v>486</v>
      </c>
      <c r="I71" s="13" t="s">
        <v>272</v>
      </c>
      <c r="J71" s="61" t="s">
        <v>256</v>
      </c>
      <c r="K71" s="13"/>
    </row>
    <row r="72" spans="1:11" ht="43.5" customHeight="1" x14ac:dyDescent="0.35">
      <c r="A72" s="60" t="s">
        <v>488</v>
      </c>
      <c r="B72" s="20" t="s">
        <v>63</v>
      </c>
      <c r="C72" s="32">
        <v>2051</v>
      </c>
      <c r="D72" s="32">
        <f>'Energy Cost Analysis'!M36</f>
        <v>7.0000000000000001E-3</v>
      </c>
      <c r="E72" s="20" t="s">
        <v>44</v>
      </c>
      <c r="F72" s="20" t="s">
        <v>484</v>
      </c>
      <c r="G72" s="20" t="s">
        <v>485</v>
      </c>
      <c r="H72" s="20" t="s">
        <v>486</v>
      </c>
      <c r="I72" s="20" t="s">
        <v>272</v>
      </c>
      <c r="J72" s="60" t="s">
        <v>256</v>
      </c>
      <c r="K72" s="20"/>
    </row>
    <row r="73" spans="1:11" ht="43.5" customHeight="1" x14ac:dyDescent="0.35">
      <c r="A73" s="61" t="s">
        <v>489</v>
      </c>
      <c r="B73" s="13" t="s">
        <v>65</v>
      </c>
      <c r="C73" s="32">
        <v>2026</v>
      </c>
      <c r="D73" s="32">
        <f>'Energy Cost Analysis'!I37</f>
        <v>200</v>
      </c>
      <c r="E73" s="13" t="s">
        <v>66</v>
      </c>
      <c r="F73" s="13" t="s">
        <v>490</v>
      </c>
      <c r="G73" s="13" t="s">
        <v>491</v>
      </c>
      <c r="H73" s="13" t="s">
        <v>492</v>
      </c>
      <c r="I73" s="13" t="s">
        <v>272</v>
      </c>
      <c r="J73" s="61" t="s">
        <v>493</v>
      </c>
      <c r="K73" s="13"/>
    </row>
    <row r="74" spans="1:11" ht="43.5" customHeight="1" x14ac:dyDescent="0.35">
      <c r="A74" s="60" t="s">
        <v>494</v>
      </c>
      <c r="B74" s="20" t="s">
        <v>65</v>
      </c>
      <c r="C74" s="32">
        <v>2036</v>
      </c>
      <c r="D74" s="32">
        <f>'Energy Cost Analysis'!K37</f>
        <v>110</v>
      </c>
      <c r="E74" s="20" t="s">
        <v>66</v>
      </c>
      <c r="F74" s="20" t="s">
        <v>490</v>
      </c>
      <c r="G74" s="20" t="s">
        <v>491</v>
      </c>
      <c r="H74" s="20" t="s">
        <v>492</v>
      </c>
      <c r="I74" s="20" t="s">
        <v>272</v>
      </c>
      <c r="J74" s="60" t="s">
        <v>493</v>
      </c>
      <c r="K74" s="20"/>
    </row>
    <row r="75" spans="1:11" ht="43.5" customHeight="1" x14ac:dyDescent="0.35">
      <c r="A75" s="61" t="s">
        <v>495</v>
      </c>
      <c r="B75" s="13" t="s">
        <v>65</v>
      </c>
      <c r="C75" s="32">
        <v>2051</v>
      </c>
      <c r="D75" s="32">
        <f>'Energy Cost Analysis'!M37</f>
        <v>80</v>
      </c>
      <c r="E75" s="13" t="s">
        <v>66</v>
      </c>
      <c r="F75" s="13" t="s">
        <v>490</v>
      </c>
      <c r="G75" s="13" t="s">
        <v>491</v>
      </c>
      <c r="H75" s="13" t="s">
        <v>492</v>
      </c>
      <c r="I75" s="13" t="s">
        <v>272</v>
      </c>
      <c r="J75" s="61" t="s">
        <v>493</v>
      </c>
      <c r="K75" s="13"/>
    </row>
    <row r="76" spans="1:11" ht="43.5" customHeight="1" x14ac:dyDescent="0.35">
      <c r="A76" s="60"/>
      <c r="B76" s="20"/>
      <c r="C76" s="32"/>
      <c r="D76" s="32"/>
      <c r="E76" s="20"/>
      <c r="F76" s="20"/>
      <c r="G76" s="20"/>
      <c r="H76" s="20"/>
      <c r="I76" s="20"/>
      <c r="J76" s="60"/>
      <c r="K76" s="20"/>
    </row>
    <row r="77" spans="1:11" ht="43.5" customHeight="1" x14ac:dyDescent="0.35">
      <c r="A77" s="61"/>
      <c r="B77" s="13"/>
      <c r="C77" s="32"/>
      <c r="D77" s="32"/>
      <c r="E77" s="13"/>
      <c r="F77" s="13"/>
      <c r="G77" s="13"/>
      <c r="H77" s="13"/>
      <c r="I77" s="13"/>
      <c r="J77" s="61"/>
      <c r="K77" s="13"/>
    </row>
    <row r="78" spans="1:11" ht="43.5" customHeight="1" x14ac:dyDescent="0.35">
      <c r="A78" s="60"/>
      <c r="B78" s="20"/>
      <c r="C78" s="32"/>
      <c r="D78" s="32"/>
      <c r="E78" s="20"/>
      <c r="F78" s="20"/>
      <c r="G78" s="20"/>
      <c r="H78" s="20"/>
      <c r="I78" s="20"/>
      <c r="J78" s="60"/>
      <c r="K78" s="20"/>
    </row>
    <row r="79" spans="1:11" ht="43.5" customHeight="1" x14ac:dyDescent="0.35">
      <c r="A79" s="61"/>
      <c r="B79" s="13"/>
      <c r="C79" s="32"/>
      <c r="D79" s="32"/>
      <c r="E79" s="13"/>
      <c r="F79" s="13"/>
      <c r="G79" s="13"/>
      <c r="H79" s="13"/>
      <c r="I79" s="13"/>
      <c r="J79" s="61"/>
      <c r="K79" s="13"/>
    </row>
    <row r="80" spans="1:11" ht="43.5" customHeight="1" x14ac:dyDescent="0.35">
      <c r="A80" s="60"/>
      <c r="B80" s="20"/>
      <c r="C80" s="32"/>
      <c r="D80" s="32"/>
      <c r="E80" s="20"/>
      <c r="F80" s="20"/>
      <c r="G80" s="20"/>
      <c r="H80" s="20"/>
      <c r="I80" s="20"/>
      <c r="J80" s="60"/>
      <c r="K80" s="20"/>
    </row>
    <row r="81" spans="1:11" ht="43.5" customHeight="1" x14ac:dyDescent="0.35">
      <c r="A81" s="61"/>
      <c r="B81" s="13"/>
      <c r="C81" s="32"/>
      <c r="D81" s="32"/>
      <c r="E81" s="13"/>
      <c r="F81" s="13"/>
      <c r="G81" s="13"/>
      <c r="H81" s="13"/>
      <c r="I81" s="13"/>
      <c r="J81" s="61"/>
      <c r="K81" s="13"/>
    </row>
    <row r="82" spans="1:11" ht="43.5" customHeight="1" x14ac:dyDescent="0.35">
      <c r="A82" s="60"/>
      <c r="B82" s="20"/>
      <c r="C82" s="32"/>
      <c r="D82" s="32"/>
      <c r="E82" s="20"/>
      <c r="F82" s="20"/>
      <c r="G82" s="20"/>
      <c r="H82" s="20"/>
      <c r="I82" s="20"/>
      <c r="J82" s="60"/>
      <c r="K82" s="20"/>
    </row>
    <row r="83" spans="1:11" ht="43.5" customHeight="1" x14ac:dyDescent="0.35">
      <c r="A83" s="61"/>
      <c r="B83" s="13"/>
      <c r="C83" s="32"/>
      <c r="D83" s="32"/>
      <c r="E83" s="13"/>
      <c r="F83" s="13"/>
      <c r="G83" s="13"/>
      <c r="H83" s="13"/>
      <c r="I83" s="13"/>
      <c r="J83" s="61"/>
      <c r="K83" s="13"/>
    </row>
    <row r="84" spans="1:11" ht="43.5" customHeight="1" x14ac:dyDescent="0.35">
      <c r="A84" s="60"/>
      <c r="B84" s="20"/>
      <c r="C84" s="32"/>
      <c r="D84" s="32"/>
      <c r="E84" s="20"/>
      <c r="F84" s="20"/>
      <c r="G84" s="20"/>
      <c r="H84" s="20"/>
      <c r="I84" s="20"/>
      <c r="J84" s="60"/>
      <c r="K84" s="20"/>
    </row>
    <row r="85" spans="1:11" ht="43.5" customHeight="1" x14ac:dyDescent="0.35">
      <c r="A85" s="61"/>
      <c r="B85" s="13"/>
      <c r="C85" s="32"/>
      <c r="D85" s="32"/>
      <c r="E85" s="13"/>
      <c r="F85" s="13"/>
      <c r="G85" s="13"/>
      <c r="H85" s="13"/>
      <c r="I85" s="13"/>
      <c r="J85" s="61"/>
      <c r="K85" s="13"/>
    </row>
    <row r="86" spans="1:11" ht="43.5" customHeight="1" x14ac:dyDescent="0.35">
      <c r="A86" s="60"/>
      <c r="B86" s="20"/>
      <c r="C86" s="32"/>
      <c r="D86" s="32"/>
      <c r="E86" s="20"/>
      <c r="F86" s="20"/>
      <c r="G86" s="20"/>
      <c r="H86" s="20"/>
      <c r="I86" s="20"/>
      <c r="J86" s="60"/>
      <c r="K86" s="20"/>
    </row>
    <row r="87" spans="1:11" ht="43.5" customHeight="1" x14ac:dyDescent="0.35">
      <c r="A87" s="61"/>
      <c r="B87" s="13"/>
      <c r="C87" s="32"/>
      <c r="D87" s="32"/>
      <c r="E87" s="13"/>
      <c r="F87" s="13"/>
      <c r="G87" s="13"/>
      <c r="H87" s="13"/>
      <c r="I87" s="13"/>
      <c r="J87" s="61"/>
      <c r="K87" s="13"/>
    </row>
    <row r="88" spans="1:11" ht="43.5" customHeight="1" x14ac:dyDescent="0.35">
      <c r="A88" s="60"/>
      <c r="B88" s="20"/>
      <c r="C88" s="32"/>
      <c r="D88" s="32"/>
      <c r="E88" s="20"/>
      <c r="F88" s="20"/>
      <c r="G88" s="20"/>
      <c r="H88" s="20"/>
      <c r="I88" s="20"/>
      <c r="J88" s="60"/>
      <c r="K88" s="20"/>
    </row>
    <row r="89" spans="1:11" ht="43.5" customHeight="1" x14ac:dyDescent="0.35">
      <c r="A89" s="61"/>
      <c r="B89" s="13"/>
      <c r="C89" s="32"/>
      <c r="D89" s="32"/>
      <c r="E89" s="13"/>
      <c r="F89" s="13"/>
      <c r="G89" s="13"/>
      <c r="H89" s="13"/>
      <c r="I89" s="13"/>
      <c r="J89" s="61"/>
      <c r="K89" s="13"/>
    </row>
    <row r="90" spans="1:11" ht="43.5" customHeight="1" x14ac:dyDescent="0.35">
      <c r="A90" s="60"/>
      <c r="B90" s="20"/>
      <c r="C90" s="32"/>
      <c r="D90" s="32"/>
      <c r="E90" s="20"/>
      <c r="F90" s="20"/>
      <c r="G90" s="20"/>
      <c r="H90" s="20"/>
      <c r="I90" s="20"/>
      <c r="J90" s="60"/>
      <c r="K90" s="20"/>
    </row>
    <row r="91" spans="1:11" x14ac:dyDescent="0.35">
      <c r="A91" s="61"/>
      <c r="B91" s="13"/>
      <c r="C91" s="32"/>
      <c r="D91" s="32"/>
      <c r="E91" s="13"/>
      <c r="F91" s="13"/>
      <c r="G91" s="13"/>
      <c r="H91" s="13"/>
      <c r="I91" s="13"/>
      <c r="J91" s="61"/>
      <c r="K91" s="13"/>
    </row>
    <row r="92" spans="1:11" x14ac:dyDescent="0.35">
      <c r="A92" s="60"/>
      <c r="B92" s="20"/>
      <c r="C92" s="32"/>
      <c r="D92" s="32"/>
      <c r="E92" s="20"/>
      <c r="F92" s="20"/>
      <c r="G92" s="20"/>
      <c r="H92" s="20"/>
      <c r="I92" s="20"/>
      <c r="J92" s="60"/>
      <c r="K92" s="20"/>
    </row>
    <row r="93" spans="1:11" x14ac:dyDescent="0.35">
      <c r="A93" s="61"/>
      <c r="B93" s="13"/>
      <c r="C93" s="32"/>
      <c r="D93" s="32"/>
      <c r="E93" s="13"/>
      <c r="F93" s="13"/>
      <c r="G93" s="13"/>
      <c r="H93" s="13"/>
      <c r="I93" s="13"/>
      <c r="J93" s="61"/>
      <c r="K93" s="13"/>
    </row>
    <row r="94" spans="1:11" x14ac:dyDescent="0.35">
      <c r="A94" s="60"/>
      <c r="B94" s="20"/>
      <c r="C94" s="32"/>
      <c r="D94" s="32"/>
      <c r="E94" s="20"/>
      <c r="F94" s="20"/>
      <c r="G94" s="20"/>
      <c r="H94" s="20"/>
      <c r="I94" s="20"/>
      <c r="J94" s="60"/>
      <c r="K94" s="20"/>
    </row>
    <row r="95" spans="1:11" x14ac:dyDescent="0.35">
      <c r="A95" s="61"/>
      <c r="B95" s="13"/>
      <c r="C95" s="32"/>
      <c r="D95" s="32"/>
      <c r="E95" s="13"/>
      <c r="F95" s="13"/>
      <c r="G95" s="13"/>
      <c r="H95" s="13"/>
      <c r="I95" s="13"/>
      <c r="J95" s="61"/>
      <c r="K95" s="13"/>
    </row>
    <row r="96" spans="1:11" x14ac:dyDescent="0.35">
      <c r="A96" s="60"/>
      <c r="B96" s="20"/>
      <c r="C96" s="32"/>
      <c r="D96" s="32"/>
      <c r="E96" s="20"/>
      <c r="F96" s="20"/>
      <c r="G96" s="20"/>
      <c r="H96" s="20"/>
      <c r="I96" s="20"/>
      <c r="J96" s="60"/>
      <c r="K96" s="20"/>
    </row>
    <row r="97" spans="1:11" x14ac:dyDescent="0.35">
      <c r="A97" s="61"/>
      <c r="B97" s="13"/>
      <c r="C97" s="32"/>
      <c r="D97" s="32"/>
      <c r="E97" s="13"/>
      <c r="F97" s="13"/>
      <c r="G97" s="13"/>
      <c r="H97" s="13"/>
      <c r="I97" s="13"/>
      <c r="J97" s="61"/>
      <c r="K97" s="13"/>
    </row>
    <row r="98" spans="1:11" x14ac:dyDescent="0.35">
      <c r="A98" s="60"/>
      <c r="B98" s="20"/>
      <c r="C98" s="32"/>
      <c r="D98" s="32"/>
      <c r="E98" s="20"/>
      <c r="F98" s="20"/>
      <c r="G98" s="20"/>
      <c r="H98" s="20"/>
      <c r="I98" s="20"/>
      <c r="J98" s="60"/>
      <c r="K98" s="20"/>
    </row>
    <row r="99" spans="1:11" x14ac:dyDescent="0.35">
      <c r="A99" s="61"/>
      <c r="B99" s="13"/>
      <c r="C99" s="32"/>
      <c r="D99" s="32"/>
      <c r="E99" s="13"/>
      <c r="F99" s="13"/>
      <c r="G99" s="13"/>
      <c r="H99" s="13"/>
      <c r="I99" s="13"/>
      <c r="J99" s="61"/>
      <c r="K99" s="13"/>
    </row>
    <row r="100" spans="1:11" x14ac:dyDescent="0.35">
      <c r="A100" s="60"/>
      <c r="B100" s="20"/>
      <c r="C100" s="32"/>
      <c r="D100" s="32"/>
      <c r="E100" s="20"/>
      <c r="F100" s="20"/>
      <c r="G100" s="20"/>
      <c r="H100" s="20"/>
      <c r="I100" s="20"/>
      <c r="J100" s="60"/>
      <c r="K100" s="20"/>
    </row>
    <row r="101" spans="1:11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spans="1:11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spans="1:11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spans="1:11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spans="1:11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spans="1:11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spans="1:11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spans="1:11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spans="1:11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spans="1:11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spans="1:11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spans="1:11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spans="1:11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spans="1:11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spans="1:11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spans="1:11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</sheetData>
  <mergeCells count="1">
    <mergeCell ref="A1:K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Energy Cost Analysis</vt:lpstr>
      <vt:lpstr>TCO Analysis</vt:lpstr>
      <vt:lpstr>Revenue and Profit</vt:lpstr>
      <vt:lpstr>Model Detail</vt:lpstr>
      <vt:lpstr>Source Facts</vt:lpstr>
      <vt:lpstr>Assumption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2026-05-03T21:19:04Z</dcterms:modified>
</cp:coreProperties>
</file>